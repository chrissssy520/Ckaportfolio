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hidePivotFieldList="1"/>
  <mc:AlternateContent xmlns:mc="http://schemas.openxmlformats.org/markup-compatibility/2006">
    <mc:Choice Requires="x15">
      <x15ac:absPath xmlns:x15ac="http://schemas.microsoft.com/office/spreadsheetml/2010/11/ac" url="/Users/jamesaler/Downloads/"/>
    </mc:Choice>
  </mc:AlternateContent>
  <xr:revisionPtr revIDLastSave="0" documentId="13_ncr:1_{648F089A-862F-B84F-8C98-0C75C145AEA1}" xr6:coauthVersionLast="47" xr6:coauthVersionMax="47" xr10:uidLastSave="{00000000-0000-0000-0000-000000000000}"/>
  <bookViews>
    <workbookView xWindow="60" yWindow="500" windowWidth="28800" windowHeight="15820" activeTab="2" xr2:uid="{00000000-000D-0000-FFFF-FFFF00000000}"/>
  </bookViews>
  <sheets>
    <sheet name="Pivot" sheetId="4" r:id="rId1"/>
    <sheet name="Cleaned" sheetId="3" r:id="rId2"/>
    <sheet name="Raw Sales Data" sheetId="1" r:id="rId3"/>
    <sheet name="Pivot link" sheetId="5" r:id="rId4"/>
  </sheets>
  <definedNames>
    <definedName name="ExternalData_1" localSheetId="1" hidden="1">Cleaned!$A$2:$R$52</definedName>
    <definedName name="Slicer_Region">#N/A</definedName>
  </definedNames>
  <calcPr calcId="191029"/>
  <pivotCaches>
    <pivotCache cacheId="29"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3" l="1"/>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23FA0E-A2EF-D24E-8501-8D3F62BCF5BD}"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<sst xmlns="http://schemas.openxmlformats.org/spreadsheetml/2006/main" count="1395" uniqueCount="462">
  <si>
    <t>Order ID</t>
  </si>
  <si>
    <t>order date</t>
  </si>
  <si>
    <t>CUSTOMER NAME</t>
  </si>
  <si>
    <t>Customer_Email</t>
  </si>
  <si>
    <t>Region</t>
  </si>
  <si>
    <t xml:space="preserve">region </t>
  </si>
  <si>
    <t>Sales Rep</t>
  </si>
  <si>
    <t>SalesRep ID</t>
  </si>
  <si>
    <t>Product Category</t>
  </si>
  <si>
    <t>product name</t>
  </si>
  <si>
    <t>Quantity</t>
  </si>
  <si>
    <t>Unit Price (PHP)</t>
  </si>
  <si>
    <t>Discount%</t>
  </si>
  <si>
    <t>Total Sale</t>
  </si>
  <si>
    <t>Payment Method</t>
  </si>
  <si>
    <t>Status</t>
  </si>
  <si>
    <t>Delivery Date</t>
  </si>
  <si>
    <t>Notes</t>
  </si>
  <si>
    <t>ORD-1001</t>
  </si>
  <si>
    <t>2024-01-05</t>
  </si>
  <si>
    <t>Maria Santos</t>
  </si>
  <si>
    <t>maria.santos@gmail.com</t>
  </si>
  <si>
    <t>NCR</t>
  </si>
  <si>
    <t>Juan dela Cruz</t>
  </si>
  <si>
    <t>REP-01</t>
  </si>
  <si>
    <t>Electronics</t>
  </si>
  <si>
    <t>Laptop</t>
  </si>
  <si>
    <t>10%</t>
  </si>
  <si>
    <t>GCash</t>
  </si>
  <si>
    <t>Delivered</t>
  </si>
  <si>
    <t>2024-01-10</t>
  </si>
  <si>
    <t>ORD-1002</t>
  </si>
  <si>
    <t>January 8, 2024</t>
  </si>
  <si>
    <t>JOSE REYES</t>
  </si>
  <si>
    <t>jose_reyes@yahoo.com</t>
  </si>
  <si>
    <t>Visayas</t>
  </si>
  <si>
    <t>visayas</t>
  </si>
  <si>
    <t>Ana Lim</t>
  </si>
  <si>
    <t>REP-02</t>
  </si>
  <si>
    <t>electronics</t>
  </si>
  <si>
    <t>Smartphone</t>
  </si>
  <si>
    <t>5%</t>
  </si>
  <si>
    <t>Cash</t>
  </si>
  <si>
    <t>delivered</t>
  </si>
  <si>
    <t>2024-01-15</t>
  </si>
  <si>
    <t>fragile item</t>
  </si>
  <si>
    <t>ORD-1003</t>
  </si>
  <si>
    <t>2024/01/10</t>
  </si>
  <si>
    <t>Pedro Garcia</t>
  </si>
  <si>
    <t>pedro.garcia@gmail.com</t>
  </si>
  <si>
    <t>Mindanao</t>
  </si>
  <si>
    <t>MINDANAO</t>
  </si>
  <si>
    <t>rep-01</t>
  </si>
  <si>
    <t>Appliances</t>
  </si>
  <si>
    <t>Electric Fan</t>
  </si>
  <si>
    <t>0</t>
  </si>
  <si>
    <t>Bank Transfer</t>
  </si>
  <si>
    <t>Pending</t>
  </si>
  <si>
    <t>awaiting stock</t>
  </si>
  <si>
    <t>ORD-1004</t>
  </si>
  <si>
    <t>2024-01-12</t>
  </si>
  <si>
    <t>Rosa Dela Cruz</t>
  </si>
  <si>
    <t>Furniture</t>
  </si>
  <si>
    <t>Office Chair</t>
  </si>
  <si>
    <t>15%</t>
  </si>
  <si>
    <t>2024-01-18</t>
  </si>
  <si>
    <t>ORD-1005</t>
  </si>
  <si>
    <t>01/15/2024</t>
  </si>
  <si>
    <t>john smith</t>
  </si>
  <si>
    <t>jsmith@gmail.com</t>
  </si>
  <si>
    <t>Luzon</t>
  </si>
  <si>
    <t>luzon</t>
  </si>
  <si>
    <t>Carlos Tan</t>
  </si>
  <si>
    <t>REP-03</t>
  </si>
  <si>
    <t>Tablet</t>
  </si>
  <si>
    <t>Credit Card</t>
  </si>
  <si>
    <t>Cancelled</t>
  </si>
  <si>
    <t>N/A</t>
  </si>
  <si>
    <t>customer cancelled</t>
  </si>
  <si>
    <t>ORD-1006</t>
  </si>
  <si>
    <t>Aircon</t>
  </si>
  <si>
    <t>Installment</t>
  </si>
  <si>
    <t>2024-01-25</t>
  </si>
  <si>
    <t>ORD-1007</t>
  </si>
  <si>
    <t>2024-01-20</t>
  </si>
  <si>
    <t>ANNA REYES</t>
  </si>
  <si>
    <t>anna.reyes@outlook.com</t>
  </si>
  <si>
    <t>Clothing</t>
  </si>
  <si>
    <t>Uniform Set</t>
  </si>
  <si>
    <t>20%</t>
  </si>
  <si>
    <t>2024-01-27</t>
  </si>
  <si>
    <t>bulk order</t>
  </si>
  <si>
    <t>ORD-1008</t>
  </si>
  <si>
    <t>Jan 22 2024</t>
  </si>
  <si>
    <t>Ben Cruz</t>
  </si>
  <si>
    <t>bencruz@gmail.com</t>
  </si>
  <si>
    <t>mindanao</t>
  </si>
  <si>
    <t>laptop</t>
  </si>
  <si>
    <t>0%</t>
  </si>
  <si>
    <t>Returned</t>
  </si>
  <si>
    <t>2024-01-28</t>
  </si>
  <si>
    <t>defective unit</t>
  </si>
  <si>
    <t>ORD-1009</t>
  </si>
  <si>
    <t>Liza Fernandez</t>
  </si>
  <si>
    <t>liza_fernandez@yahoo.com</t>
  </si>
  <si>
    <t>Sofa</t>
  </si>
  <si>
    <t>2024-02-01</t>
  </si>
  <si>
    <t>ORD-1010</t>
  </si>
  <si>
    <t>Mark Villanueva</t>
  </si>
  <si>
    <t>mvillanueva@email.com</t>
  </si>
  <si>
    <t>Refrigerator</t>
  </si>
  <si>
    <t>ORD-1011</t>
  </si>
  <si>
    <t>CLAIRE SANTOS</t>
  </si>
  <si>
    <t>claire.s@gmail.com</t>
  </si>
  <si>
    <t>ncr</t>
  </si>
  <si>
    <t>Smart TV</t>
  </si>
  <si>
    <t>8%</t>
  </si>
  <si>
    <t>2024-02-07</t>
  </si>
  <si>
    <t>ORD-1012</t>
  </si>
  <si>
    <t>02/03/2024</t>
  </si>
  <si>
    <t>Rico Mangahas</t>
  </si>
  <si>
    <t>rico_mangahas@gmail.com</t>
  </si>
  <si>
    <t>VISAYAS</t>
  </si>
  <si>
    <t>polo shirt</t>
  </si>
  <si>
    <t>2024-02-10</t>
  </si>
  <si>
    <t>ORD-1013</t>
  </si>
  <si>
    <t>2024-02-05</t>
  </si>
  <si>
    <t>Nena Aguilar</t>
  </si>
  <si>
    <t>nena.aguilar@yahoo.com</t>
  </si>
  <si>
    <t>Dining Table</t>
  </si>
  <si>
    <t>2024-02-12</t>
  </si>
  <si>
    <t>ORD-1014</t>
  </si>
  <si>
    <t>February 8 2024</t>
  </si>
  <si>
    <t>Dan Pascual</t>
  </si>
  <si>
    <t>Headphones</t>
  </si>
  <si>
    <t>2024-02-14</t>
  </si>
  <si>
    <t>gift</t>
  </si>
  <si>
    <t>ORD-1015</t>
  </si>
  <si>
    <t>Lea Castro</t>
  </si>
  <si>
    <t>lea.castro@gmail.com</t>
  </si>
  <si>
    <t>washing machine</t>
  </si>
  <si>
    <t>2024-02-17</t>
  </si>
  <si>
    <t>ORD-1016</t>
  </si>
  <si>
    <t>mario bautista</t>
  </si>
  <si>
    <t>mario.b@outlook.com</t>
  </si>
  <si>
    <t>2024-02-18</t>
  </si>
  <si>
    <t>ORD-1017</t>
  </si>
  <si>
    <t>02/14/2024</t>
  </si>
  <si>
    <t>GRACE TOLENTINO</t>
  </si>
  <si>
    <t>gracet@gmail.com</t>
  </si>
  <si>
    <t>rep-03</t>
  </si>
  <si>
    <t>Dress</t>
  </si>
  <si>
    <t>2024-02-20</t>
  </si>
  <si>
    <t>ORD-1018</t>
  </si>
  <si>
    <t>Roy Medina</t>
  </si>
  <si>
    <t>roy.medina@yahoo.com</t>
  </si>
  <si>
    <t>Bookshelf</t>
  </si>
  <si>
    <t>delayed shipment</t>
  </si>
  <si>
    <t>ORD-1019</t>
  </si>
  <si>
    <t>Tina Soriano</t>
  </si>
  <si>
    <t>tina_soriano@gmail.com</t>
  </si>
  <si>
    <t>Microwave</t>
  </si>
  <si>
    <t>2024-02-26</t>
  </si>
  <si>
    <t>ORD-1020</t>
  </si>
  <si>
    <t>Feb 22 2024</t>
  </si>
  <si>
    <t>Andy Santos</t>
  </si>
  <si>
    <t>andys@email.com</t>
  </si>
  <si>
    <t>LAPTOP</t>
  </si>
  <si>
    <t>12%</t>
  </si>
  <si>
    <t>2024-02-28</t>
  </si>
  <si>
    <t>ORD-1021</t>
  </si>
  <si>
    <t>2024-03-01</t>
  </si>
  <si>
    <t>Carla Ramos</t>
  </si>
  <si>
    <t>carla.ramos@gmail.com</t>
  </si>
  <si>
    <t>Bed Frame</t>
  </si>
  <si>
    <t>2024-03-08</t>
  </si>
  <si>
    <t>ORD-1022</t>
  </si>
  <si>
    <t>03/03/2024</t>
  </si>
  <si>
    <t>Victor Flores</t>
  </si>
  <si>
    <t>vflores@yahoo.com</t>
  </si>
  <si>
    <t>2024-03-09</t>
  </si>
  <si>
    <t>ORD-1023</t>
  </si>
  <si>
    <t>2024-03-05</t>
  </si>
  <si>
    <t>ALICE NAVARRO</t>
  </si>
  <si>
    <t>alice.n@gmail.com</t>
  </si>
  <si>
    <t>2024-03-12</t>
  </si>
  <si>
    <t>ORD-1024</t>
  </si>
  <si>
    <t>March 7 2024</t>
  </si>
  <si>
    <t>Eddie Panganiban</t>
  </si>
  <si>
    <t>Jeans</t>
  </si>
  <si>
    <t>out of stock</t>
  </si>
  <si>
    <t>ORD-1025</t>
  </si>
  <si>
    <t>2024-03-10</t>
  </si>
  <si>
    <t>Rhea Delos Reyes</t>
  </si>
  <si>
    <t>rhea_dr@outlook.com</t>
  </si>
  <si>
    <t>Study Desk</t>
  </si>
  <si>
    <t>2024-03-17</t>
  </si>
  <si>
    <t>ORD-1026</t>
  </si>
  <si>
    <t>fred coronel</t>
  </si>
  <si>
    <t>fcoronel@gmail.com</t>
  </si>
  <si>
    <t>2024-03-19</t>
  </si>
  <si>
    <t>ORD-1027</t>
  </si>
  <si>
    <t>03/15/2024</t>
  </si>
  <si>
    <t>HELEN DIZON</t>
  </si>
  <si>
    <t>hdizon@yahoo.com</t>
  </si>
  <si>
    <t>2024-03-21</t>
  </si>
  <si>
    <t>ORD-1028</t>
  </si>
  <si>
    <t>2024-03-18</t>
  </si>
  <si>
    <t>Ronnie Valdez</t>
  </si>
  <si>
    <t>ronnie.v@gmail.com</t>
  </si>
  <si>
    <t>Jacket</t>
  </si>
  <si>
    <t>2024-03-22</t>
  </si>
  <si>
    <t>wrong size</t>
  </si>
  <si>
    <t>ORD-1029</t>
  </si>
  <si>
    <t>March 20 2024</t>
  </si>
  <si>
    <t>Sonia Buenaventura</t>
  </si>
  <si>
    <t>soniab@email.com</t>
  </si>
  <si>
    <t>2024-03-27</t>
  </si>
  <si>
    <t>ORD-1030</t>
  </si>
  <si>
    <t>Jojo Estrada</t>
  </si>
  <si>
    <t>jojoestrada@gmail.com</t>
  </si>
  <si>
    <t>2024-03-28</t>
  </si>
  <si>
    <t>ORD-1031</t>
  </si>
  <si>
    <t>2024-04-02</t>
  </si>
  <si>
    <t>Milagros Cruz</t>
  </si>
  <si>
    <t>milagros.c@gmail.com</t>
  </si>
  <si>
    <t>2024-04-09</t>
  </si>
  <si>
    <t>ORD-1032</t>
  </si>
  <si>
    <t>04/04/2024</t>
  </si>
  <si>
    <t>SAMUEL LOCO</t>
  </si>
  <si>
    <t>samloco@yahoo.com</t>
  </si>
  <si>
    <t>pending</t>
  </si>
  <si>
    <t>ORD-1033</t>
  </si>
  <si>
    <t>2024-04-07</t>
  </si>
  <si>
    <t>Patricia Hernandez</t>
  </si>
  <si>
    <t>pat.h@outlook.com</t>
  </si>
  <si>
    <t>2024-04-14</t>
  </si>
  <si>
    <t>ORD-1034</t>
  </si>
  <si>
    <t>April 9 2024</t>
  </si>
  <si>
    <t>dennis abad</t>
  </si>
  <si>
    <t>2024-04-15</t>
  </si>
  <si>
    <t>company bulk order</t>
  </si>
  <si>
    <t>ORD-1035</t>
  </si>
  <si>
    <t>2024-04-11</t>
  </si>
  <si>
    <t>Norma Evangelista</t>
  </si>
  <si>
    <t>norma.e@gmail.com</t>
  </si>
  <si>
    <t>2024-04-18</t>
  </si>
  <si>
    <t>ORD-1036</t>
  </si>
  <si>
    <t>EDGAR MONTOYA</t>
  </si>
  <si>
    <t>edgar_m@yahoo.com</t>
  </si>
  <si>
    <t>2024-04-21</t>
  </si>
  <si>
    <t>ORD-1037</t>
  </si>
  <si>
    <t>04/17/2024</t>
  </si>
  <si>
    <t>Linda Pascual</t>
  </si>
  <si>
    <t>linda.p@gmail.com</t>
  </si>
  <si>
    <t>2024-04-20</t>
  </si>
  <si>
    <t>defective</t>
  </si>
  <si>
    <t>ORD-1038</t>
  </si>
  <si>
    <t>2024-04-19</t>
  </si>
  <si>
    <t>Rudy Magsaysay</t>
  </si>
  <si>
    <t>rudym@email.com</t>
  </si>
  <si>
    <t>2024-04-25</t>
  </si>
  <si>
    <t>ORD-1039</t>
  </si>
  <si>
    <t>April 22 2024</t>
  </si>
  <si>
    <t>Cora Aquino</t>
  </si>
  <si>
    <t>cora.a@gmail.com</t>
  </si>
  <si>
    <t>2024-04-28</t>
  </si>
  <si>
    <t>ORD-1040</t>
  </si>
  <si>
    <t>ben reyes</t>
  </si>
  <si>
    <t>benreyes@yahoo.com</t>
  </si>
  <si>
    <t>address not found</t>
  </si>
  <si>
    <t>ORD-1041</t>
  </si>
  <si>
    <t>2024-05-02</t>
  </si>
  <si>
    <t>ISABEL MORALES</t>
  </si>
  <si>
    <t>isabel.m@gmail.com</t>
  </si>
  <si>
    <t>2024-05-09</t>
  </si>
  <si>
    <t>ORD-1042</t>
  </si>
  <si>
    <t>05/05/2024</t>
  </si>
  <si>
    <t>Ramon Viray</t>
  </si>
  <si>
    <t>rviray@outlook.com</t>
  </si>
  <si>
    <t>2024-05-11</t>
  </si>
  <si>
    <t>ORD-1043</t>
  </si>
  <si>
    <t>2024-05-07</t>
  </si>
  <si>
    <t>Gloria Roxas</t>
  </si>
  <si>
    <t>gloria_r@yahoo.com</t>
  </si>
  <si>
    <t>rep-02</t>
  </si>
  <si>
    <t>ORD-1044</t>
  </si>
  <si>
    <t>May 9 2024</t>
  </si>
  <si>
    <t>oscar de leon</t>
  </si>
  <si>
    <t>2024-05-15</t>
  </si>
  <si>
    <t>ORD-1045</t>
  </si>
  <si>
    <t>2024-05-12</t>
  </si>
  <si>
    <t>Pilar Adriano</t>
  </si>
  <si>
    <t>pilar.a@gmail.com</t>
  </si>
  <si>
    <t>2024-05-18</t>
  </si>
  <si>
    <t>bulk</t>
  </si>
  <si>
    <t>ORD-1046</t>
  </si>
  <si>
    <t>VICTOR SANTOS</t>
  </si>
  <si>
    <t>vsantos@email.com</t>
  </si>
  <si>
    <t>2024-05-22</t>
  </si>
  <si>
    <t>ORD-1047</t>
  </si>
  <si>
    <t>05/18/2024</t>
  </si>
  <si>
    <t>Agnes Reyes</t>
  </si>
  <si>
    <t>agnes.r@yahoo.com</t>
  </si>
  <si>
    <t>2024-05-24</t>
  </si>
  <si>
    <t>ORD-1048</t>
  </si>
  <si>
    <t>2024-05-20</t>
  </si>
  <si>
    <t>Dante Bautista</t>
  </si>
  <si>
    <t>dante_b@gmail.com</t>
  </si>
  <si>
    <t>2024-05-27</t>
  </si>
  <si>
    <t>ORD-1049</t>
  </si>
  <si>
    <t>May 22 2024</t>
  </si>
  <si>
    <t>LUISA EVANGELISTA</t>
  </si>
  <si>
    <t>luisa.e@outlook.com</t>
  </si>
  <si>
    <t>25%</t>
  </si>
  <si>
    <t>2024-05-28</t>
  </si>
  <si>
    <t>school bulk order</t>
  </si>
  <si>
    <t>ORD-1050</t>
  </si>
  <si>
    <t>2024-05-25</t>
  </si>
  <si>
    <t>terry yap</t>
  </si>
  <si>
    <t>terry.yap@gmail.com</t>
  </si>
  <si>
    <t>first_name</t>
  </si>
  <si>
    <t>last_name</t>
  </si>
  <si>
    <t>customer_email</t>
  </si>
  <si>
    <t>Maria</t>
  </si>
  <si>
    <t>Santos</t>
  </si>
  <si>
    <t>Juan Dela Cruz</t>
  </si>
  <si>
    <t>Jose</t>
  </si>
  <si>
    <t>Reyes</t>
  </si>
  <si>
    <t>Fragile Item</t>
  </si>
  <si>
    <t>Pedro</t>
  </si>
  <si>
    <t>Garcia</t>
  </si>
  <si>
    <t>Awaiting Stock</t>
  </si>
  <si>
    <t>Rosa</t>
  </si>
  <si>
    <t>Dela Cruz</t>
  </si>
  <si>
    <t>John</t>
  </si>
  <si>
    <t>Smith</t>
  </si>
  <si>
    <t>Customer Cancelled</t>
  </si>
  <si>
    <t>Anna</t>
  </si>
  <si>
    <t>Bulk Order</t>
  </si>
  <si>
    <t>Ben</t>
  </si>
  <si>
    <t>Cruz</t>
  </si>
  <si>
    <t>Defective Unit</t>
  </si>
  <si>
    <t>Liza</t>
  </si>
  <si>
    <t>Fernandez</t>
  </si>
  <si>
    <t>Mark</t>
  </si>
  <si>
    <t>Villanueva</t>
  </si>
  <si>
    <t>Claire</t>
  </si>
  <si>
    <t>Smart Tv</t>
  </si>
  <si>
    <t>Rico</t>
  </si>
  <si>
    <t>Mangahas</t>
  </si>
  <si>
    <t>Polo Shirt</t>
  </si>
  <si>
    <t>Nena</t>
  </si>
  <si>
    <t>Aguilar</t>
  </si>
  <si>
    <t>Dan</t>
  </si>
  <si>
    <t>Pascual</t>
  </si>
  <si>
    <t>Gift</t>
  </si>
  <si>
    <t>Lea</t>
  </si>
  <si>
    <t>Castro</t>
  </si>
  <si>
    <t>Washing Machine</t>
  </si>
  <si>
    <t>Mario</t>
  </si>
  <si>
    <t>Bautista</t>
  </si>
  <si>
    <t>Grace</t>
  </si>
  <si>
    <t>Tolentino</t>
  </si>
  <si>
    <t>Roy</t>
  </si>
  <si>
    <t>Medina</t>
  </si>
  <si>
    <t>Delayed Shipment</t>
  </si>
  <si>
    <t>Tina</t>
  </si>
  <si>
    <t>Soriano</t>
  </si>
  <si>
    <t>Andy</t>
  </si>
  <si>
    <t>Carla</t>
  </si>
  <si>
    <t>Ramos</t>
  </si>
  <si>
    <t>Victor</t>
  </si>
  <si>
    <t>Flores</t>
  </si>
  <si>
    <t>Alice</t>
  </si>
  <si>
    <t>Navarro</t>
  </si>
  <si>
    <t>Eddie</t>
  </si>
  <si>
    <t>Panganiban</t>
  </si>
  <si>
    <t>Out Of Stock</t>
  </si>
  <si>
    <t>Rhea</t>
  </si>
  <si>
    <t>Delos Reyes</t>
  </si>
  <si>
    <t>Fred</t>
  </si>
  <si>
    <t>Coronel</t>
  </si>
  <si>
    <t>Helen</t>
  </si>
  <si>
    <t>Dizon</t>
  </si>
  <si>
    <t>Ronnie</t>
  </si>
  <si>
    <t>Valdez</t>
  </si>
  <si>
    <t>Wrong Size</t>
  </si>
  <si>
    <t>Sonia</t>
  </si>
  <si>
    <t>Buenaventura</t>
  </si>
  <si>
    <t>Jojo</t>
  </si>
  <si>
    <t>Estrada</t>
  </si>
  <si>
    <t>Milagros</t>
  </si>
  <si>
    <t>Samuel</t>
  </si>
  <si>
    <t>Loco</t>
  </si>
  <si>
    <t>Patricia</t>
  </si>
  <si>
    <t>Hernandez</t>
  </si>
  <si>
    <t>Dennis</t>
  </si>
  <si>
    <t>Abad</t>
  </si>
  <si>
    <t>Company Bulk Order</t>
  </si>
  <si>
    <t>Norma</t>
  </si>
  <si>
    <t>Evangelista</t>
  </si>
  <si>
    <t>Edgar</t>
  </si>
  <si>
    <t>Montoya</t>
  </si>
  <si>
    <t>Linda</t>
  </si>
  <si>
    <t>Defective</t>
  </si>
  <si>
    <t>Rudy</t>
  </si>
  <si>
    <t>Magsaysay</t>
  </si>
  <si>
    <t>Cora</t>
  </si>
  <si>
    <t>Aquino</t>
  </si>
  <si>
    <t>Address Not Found</t>
  </si>
  <si>
    <t>Isabel</t>
  </si>
  <si>
    <t>Morales</t>
  </si>
  <si>
    <t>Ramon</t>
  </si>
  <si>
    <t>Viray</t>
  </si>
  <si>
    <t>Gloria</t>
  </si>
  <si>
    <t>Roxas</t>
  </si>
  <si>
    <t>Oscar</t>
  </si>
  <si>
    <t>De Leon</t>
  </si>
  <si>
    <t>Pilar</t>
  </si>
  <si>
    <t>Adriano</t>
  </si>
  <si>
    <t>Bulk</t>
  </si>
  <si>
    <t>Agnes</t>
  </si>
  <si>
    <t>Dante</t>
  </si>
  <si>
    <t>Luisa</t>
  </si>
  <si>
    <t>School Bulk Order</t>
  </si>
  <si>
    <t>Terry</t>
  </si>
  <si>
    <t>Yap</t>
  </si>
  <si>
    <t>`</t>
  </si>
  <si>
    <t>Row Labels</t>
  </si>
  <si>
    <t>Grand Total</t>
  </si>
  <si>
    <t>Sum of Quantity</t>
  </si>
  <si>
    <t>Most Profitable Products</t>
  </si>
  <si>
    <t xml:space="preserve"> Total Sale</t>
  </si>
  <si>
    <t>Most Profitable Category</t>
  </si>
  <si>
    <t xml:space="preserve"> Quantity</t>
  </si>
  <si>
    <t>Most Sold Products</t>
  </si>
  <si>
    <t>Total Sales Amount</t>
  </si>
  <si>
    <t>Top Sales Agent</t>
  </si>
  <si>
    <t>Days to Deliver</t>
  </si>
  <si>
    <t>Average of Days to Deliver</t>
  </si>
  <si>
    <t>Profit</t>
  </si>
  <si>
    <t>Popular Payment Method</t>
  </si>
  <si>
    <t>Profit By Discount</t>
  </si>
  <si>
    <t>Average of Discount%</t>
  </si>
  <si>
    <t>Key Insights</t>
  </si>
  <si>
    <t>💰 Sales Performance</t>
  </si>
  <si>
    <r>
      <t xml:space="preserve">Total Sales reached </t>
    </r>
    <r>
      <rPr>
        <b/>
        <sz val="11"/>
        <color theme="1"/>
        <rFont val="Calibri"/>
        <family val="2"/>
        <scheme val="minor"/>
      </rPr>
      <t>₱1,118,705</t>
    </r>
    <r>
      <rPr>
        <sz val="11"/>
        <color theme="1"/>
        <rFont val="Calibri"/>
        <family val="2"/>
        <scheme val="minor"/>
      </rPr>
      <t xml:space="preserve"> across all regions</t>
    </r>
  </si>
  <si>
    <r>
      <t>Laptop</t>
    </r>
    <r>
      <rPr>
        <sz val="11"/>
        <color theme="1"/>
        <rFont val="Calibri"/>
        <family val="2"/>
        <scheme val="minor"/>
      </rPr>
      <t xml:space="preserve"> is the most profitable product at ₱291,600</t>
    </r>
  </si>
  <si>
    <t>📦 Product &amp; Category</t>
  </si>
  <si>
    <r>
      <t>Electronics</t>
    </r>
    <r>
      <rPr>
        <sz val="11"/>
        <color theme="1"/>
        <rFont val="Calibri"/>
        <family val="2"/>
        <scheme val="minor"/>
      </rPr>
      <t xml:space="preserve"> dominates both quantity (36) and profit (₱604,600)</t>
    </r>
  </si>
  <si>
    <r>
      <t>Clothing</t>
    </r>
    <r>
      <rPr>
        <sz val="11"/>
        <color theme="1"/>
        <rFont val="Calibri"/>
        <family val="2"/>
        <scheme val="minor"/>
      </rPr>
      <t xml:space="preserve"> has the most quantity sold (55 units) but lowest profit — high volume, low margin</t>
    </r>
  </si>
  <si>
    <t>🏷️ Discount Impact</t>
  </si>
  <si>
    <r>
      <t xml:space="preserve">Clothing has the highest average discount (12.78%) yet lowest profit — </t>
    </r>
    <r>
      <rPr>
        <b/>
        <sz val="11"/>
        <color theme="1"/>
        <rFont val="Calibri"/>
        <family val="2"/>
        <scheme val="minor"/>
      </rPr>
      <t>over-discounting is hurting margins</t>
    </r>
  </si>
  <si>
    <r>
      <t xml:space="preserve">Electronics with only 5.76% discount generates the most revenue — </t>
    </r>
    <r>
      <rPr>
        <b/>
        <sz val="11"/>
        <color theme="1"/>
        <rFont val="Calibri"/>
        <family val="2"/>
        <scheme val="minor"/>
      </rPr>
      <t>less discount, more profit</t>
    </r>
  </si>
  <si>
    <t>🚚 Delivery</t>
  </si>
  <si>
    <r>
      <t xml:space="preserve">Average delivery time is </t>
    </r>
    <r>
      <rPr>
        <b/>
        <sz val="11"/>
        <color theme="1"/>
        <rFont val="Calibri"/>
        <family val="2"/>
        <scheme val="minor"/>
      </rPr>
      <t>6 days</t>
    </r>
  </si>
  <si>
    <t>👤 Top Agent</t>
  </si>
  <si>
    <r>
      <t>Juan Dela Cruz</t>
    </r>
    <r>
      <rPr>
        <sz val="11"/>
        <color theme="1"/>
        <rFont val="Calibri"/>
        <family val="2"/>
        <scheme val="minor"/>
      </rPr>
      <t xml:space="preserve"> leads with ₱429,300 in sales</t>
    </r>
  </si>
  <si>
    <t>💳 Payment</t>
  </si>
  <si>
    <r>
      <t>Cash</t>
    </r>
    <r>
      <rPr>
        <sz val="11"/>
        <color theme="1"/>
        <rFont val="Calibri"/>
        <family val="2"/>
        <scheme val="minor"/>
      </rPr>
      <t xml:space="preserve"> is the most popular payment method</t>
    </r>
  </si>
  <si>
    <t>Philippine Sales Data Analysis — by Christian Kho Aler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</si>
</sst>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9" formatCode="&quot;₱&quot;#,##0.00"/>
  </numFmts>
  <fonts count="7" x14ac:knownFonts="1">
    <font>
      <sz val="11"/>
      <color theme="1"/>
      <name val="Calibri"/>
      <family val="2"/>
      <scheme val="minor"/>
    </font>
    <font>
      <b/>
      <sz val="11"/>
      <color rgb="FFFFFFFF"/>
      <name val="Arial"/>
    </font>
    <font>
      <b/>
      <sz val="11"/>
      <color theme="1"/>
      <name val="Calibri"/>
      <family val="2"/>
      <scheme val="minor"/>
    </font>
    <font>
      <sz val="8"/>
      <name val="Calibri"/>
      <family val="2"/>
      <scheme val="minor"/>
    </font>
    <font>
      <sz val="14"/>
      <color theme="1"/>
      <name val="Calibri"/>
      <family val="2"/>
      <scheme val="minor"/>
    </font>
    <font>
      <sz val="11"/>
      <color rgb="FF2CD4BF"/>
      <name val="Calibri"/>
      <family val="2"/>
      <scheme val="minor"/>
    </font>
    <font>
      <sz val="26"/>
      <color rgb="FF2CD4BF"/>
      <name val="Calibri (Body)"/>
    </font>
  </fonts>
  <fills count="5">
    <fill>
      <patternFill patternType="none"/>
    </fill>
    <fill>
      <patternFill patternType="gray125"/>
    </fill>
    <fill>
      <patternFill patternType="solid">
        <fgColor rgb="FF2F4F8F"/>
      </patternFill>
    </fill>
    <fill>
      <patternFill patternType="solid">
        <fgColor rgb="FF2CD4BF"/>
        <bgColor indexed="64"/>
      </patternFill>
    </fill>
    <fill>
      <patternFill patternType="solid">
        <fgColor theme="1"/>
        <bgColor indexed="64"/>
      </patternFill>
    </fill>
  </fills>
  <borders count="1">
    <border>
      <left/>
      <right/>
      <top/>
      <bottom/>
      <diagonal/>
    </border>
  </borders>
  <cellStyleXfs count="1">
    <xf numFmtId="0" fontId="0" fillId="0" borderId="0"/>
  </cellStyleXfs>
  <cellXfs count="22">
    <xf numFmtId="0" fontId="0" fillId="0" borderId="0" xfId="0"/>
    <xf numFmtId="0" fontId="1" fillId="2" borderId="0" xfId="0" applyFont="1" applyFill="1" applyAlignment="1">
      <alignment horizontal="center"/>
    </xf>
    <xf numFmtId="0" fontId="0" fillId="0" borderId="0" xfId="0" applyFont="1"/>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0" fillId="0" borderId="0" xfId="0" applyAlignment="1">
      <alignment horizontal="right"/>
    </xf>
    <xf numFmtId="0" fontId="4" fillId="0" borderId="0" xfId="0" applyFont="1"/>
    <xf numFmtId="0" fontId="0" fillId="0" borderId="0" xfId="0" applyBorder="1" applyAlignment="1">
      <alignment horizontal="left"/>
    </xf>
    <xf numFmtId="169" fontId="0" fillId="0" borderId="0" xfId="0" applyNumberFormat="1" applyBorder="1"/>
    <xf numFmtId="0" fontId="0" fillId="0" borderId="0" xfId="0" applyNumberFormat="1" applyBorder="1"/>
    <xf numFmtId="0" fontId="0" fillId="0" borderId="0" xfId="0" applyBorder="1"/>
    <xf numFmtId="44" fontId="0" fillId="0" borderId="0" xfId="0" applyNumberFormat="1"/>
    <xf numFmtId="1" fontId="0" fillId="0" borderId="0" xfId="0" applyNumberFormat="1"/>
    <xf numFmtId="10" fontId="0" fillId="0" borderId="0" xfId="0" applyNumberFormat="1"/>
    <xf numFmtId="0" fontId="2" fillId="0" borderId="0" xfId="0" applyFont="1"/>
    <xf numFmtId="0" fontId="6" fillId="4" borderId="0" xfId="0" applyFont="1" applyFill="1" applyAlignment="1">
      <alignment horizontal="center" vertical="center"/>
    </xf>
    <xf numFmtId="0" fontId="5" fillId="4" borderId="0" xfId="0" applyFont="1" applyFill="1" applyAlignment="1">
      <alignment horizontal="center" vertical="center"/>
    </xf>
    <xf numFmtId="0" fontId="2" fillId="3" borderId="0" xfId="0" applyFont="1" applyFill="1" applyBorder="1" applyAlignment="1">
      <alignment horizontal="center"/>
    </xf>
    <xf numFmtId="0" fontId="2" fillId="3" borderId="0" xfId="0" applyFont="1" applyFill="1" applyBorder="1" applyAlignment="1">
      <alignment horizontal="center" vertical="center"/>
    </xf>
  </cellXfs>
  <cellStyles count="1">
    <cellStyle name="Normal" xfId="0" builtinId="0"/>
  </cellStyles>
  <dxfs count="34">
    <dxf>
      <numFmt numFmtId="176" formatCode="0.000"/>
    </dxf>
    <dxf>
      <numFmt numFmtId="14" formatCode="0.00%"/>
    </dxf>
    <dxf>
      <alignment horizontal="right"/>
    </dxf>
    <dxf>
      <numFmt numFmtId="169" formatCode="&quot;₱&quot;#,##0.00"/>
    </dxf>
    <dxf>
      <numFmt numFmtId="176" formatCode="0.000"/>
    </dxf>
    <dxf>
      <numFmt numFmtId="184" formatCode="0.0000"/>
    </dxf>
    <dxf>
      <alignment horizontal="right"/>
    </dxf>
    <dxf>
      <numFmt numFmtId="169" formatCode="&quot;₱&quot;#,##0.00"/>
    </dxf>
    <dxf>
      <numFmt numFmtId="184" formatCode="0.0000"/>
    </dxf>
    <dxf>
      <alignment horizontal="right"/>
    </dxf>
    <dxf>
      <numFmt numFmtId="169" formatCode="&quot;₱&quot;#,##0.00"/>
    </dxf>
    <dxf>
      <alignment horizontal="right"/>
    </dxf>
    <dxf>
      <numFmt numFmtId="169" formatCode="&quot;₱&quot;#,##0.00"/>
    </dxf>
    <dxf>
      <numFmt numFmtId="1" formatCode="0"/>
    </dxf>
    <dxf>
      <numFmt numFmtId="1" formatCode="0"/>
    </dxf>
    <dxf>
      <numFmt numFmtId="0" formatCode="General"/>
    </dxf>
    <dxf>
      <numFmt numFmtId="19" formatCode="m/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
    </dxf>
    <dxf>
      <numFmt numFmtId="169" formatCode="&quot;₱&quot;#,##0.00"/>
    </dxf>
    <dxf>
      <numFmt numFmtId="34" formatCode="_(&quot;₱&quot;* #,##0.00_);_(&quot;₱&quot;* \(#,##0.00\);_(&quot;₱&quot;* &quot;-&quot;??_);_(@_)"/>
    </dxf>
    <dxf>
      <border>
        <left/>
        <right/>
        <top/>
        <bottom/>
        <vertical/>
        <horizontal/>
      </border>
    </dxf>
    <dxf>
      <border>
        <left/>
        <right/>
        <top/>
        <bottom/>
        <vertical/>
        <horizontal/>
      </border>
    </dxf>
    <dxf>
      <border>
        <left/>
        <right/>
        <top/>
        <bottom/>
        <vertical/>
        <horizontal/>
      </border>
    </dxf>
    <dxf>
      <border>
        <left/>
        <right/>
        <top/>
        <bottom/>
        <vertical/>
        <horizontal/>
      </border>
    </dxf>
    <dxf>
      <font>
        <b/>
        <i val="0"/>
        <strike val="0"/>
        <condense val="0"/>
        <extend val="0"/>
        <outline val="0"/>
        <shadow val="0"/>
        <u val="none"/>
        <vertAlign val="baseline"/>
        <sz val="11"/>
        <color rgb="FFFFFFFF"/>
        <name val="Arial"/>
        <scheme val="none"/>
      </font>
      <fill>
        <patternFill patternType="solid">
          <fgColor indexed="64"/>
          <bgColor rgb="FF2F4F8F"/>
        </patternFill>
      </fill>
      <alignment horizontal="center" vertical="bottom" textRotation="0" wrapText="0" indent="0" justifyLastLine="0" shrinkToFit="0" readingOrder="0"/>
    </dxf>
  </dxfs>
  <tableStyles count="0" defaultTableStyle="TableStyleMedium9" defaultPivotStyle="PivotStyleLight16"/>
  <colors>
    <mruColors>
      <color rgb="FF2CD4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[Salesdata1bycka.xlsx]Pivot link!PivotTable8</c:name>
    <c:fmtId val="0"/>
  </c:pivotSource>
  <c:chart>
    <c:autoTitleDeleted val="1"/>
    <c:pivotFmts>
      <c:pivotFmt>
        <c:idx val="0"/>
        <c:spPr>
          <a:solidFill>
            <a:srgbClr val="2CD4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link'!$B$9</c:f>
              <c:strCache>
                <c:ptCount val="1"/>
                <c:pt idx="0">
                  <c:v>Total</c:v>
                </c:pt>
              </c:strCache>
            </c:strRef>
          </c:tx>
          <c:spPr>
            <a:solidFill>
              <a:srgbClr val="2CD4BF"/>
            </a:solidFill>
            <a:ln>
              <a:noFill/>
            </a:ln>
            <a:effectLst/>
          </c:spPr>
          <c:invertIfNegative val="0"/>
          <c:cat>
            <c:strRef>
              <c:f>'Pivot link'!$A$10:$A$15</c:f>
              <c:strCache>
                <c:ptCount val="5"/>
                <c:pt idx="0">
                  <c:v>Credit Card</c:v>
                </c:pt>
                <c:pt idx="1">
                  <c:v>Bank Transfer</c:v>
                </c:pt>
                <c:pt idx="2">
                  <c:v>Installment</c:v>
                </c:pt>
                <c:pt idx="3">
                  <c:v>GCash</c:v>
                </c:pt>
                <c:pt idx="4">
                  <c:v>Cash</c:v>
                </c:pt>
              </c:strCache>
            </c:strRef>
          </c:cat>
          <c:val>
            <c:numRef>
              <c:f>'Pivot link'!$B$10:$B$15</c:f>
              <c:numCache>
                <c:formatCode>General</c:formatCode>
                <c:ptCount val="5"/>
                <c:pt idx="0">
                  <c:v>9</c:v>
                </c:pt>
                <c:pt idx="1">
                  <c:v>9</c:v>
                </c:pt>
                <c:pt idx="2">
                  <c:v>12</c:v>
                </c:pt>
                <c:pt idx="3">
                  <c:v>37</c:v>
                </c:pt>
                <c:pt idx="4">
                  <c:v>62</c:v>
                </c:pt>
              </c:numCache>
            </c:numRef>
          </c:val>
          <c:extLst>
            <c:ext xmlns:c16="http://schemas.microsoft.com/office/drawing/2014/chart" uri="{C3380CC4-5D6E-409C-BE32-E72D297353CC}">
              <c16:uniqueId val="{00000000-F6E2-4C41-8E98-77F08807ABC3}"/>
            </c:ext>
          </c:extLst>
        </c:ser>
        <c:dLbls>
          <c:showLegendKey val="0"/>
          <c:showVal val="0"/>
          <c:showCatName val="0"/>
          <c:showSerName val="0"/>
          <c:showPercent val="0"/>
          <c:showBubbleSize val="0"/>
        </c:dLbls>
        <c:gapWidth val="150"/>
        <c:overlap val="100"/>
        <c:axId val="699380575"/>
        <c:axId val="699382703"/>
      </c:barChart>
      <c:catAx>
        <c:axId val="699380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382703"/>
        <c:crosses val="autoZero"/>
        <c:auto val="1"/>
        <c:lblAlgn val="ctr"/>
        <c:lblOffset val="100"/>
        <c:noMultiLvlLbl val="0"/>
      </c:catAx>
      <c:valAx>
        <c:axId val="699382703"/>
        <c:scaling>
          <c:orientation val="minMax"/>
        </c:scaling>
        <c:delete val="1"/>
        <c:axPos val="b"/>
        <c:numFmt formatCode="General" sourceLinked="1"/>
        <c:majorTickMark val="none"/>
        <c:minorTickMark val="none"/>
        <c:tickLblPos val="nextTo"/>
        <c:crossAx val="699380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500855</xdr:colOff>
      <xdr:row>1</xdr:row>
      <xdr:rowOff>78581</xdr:rowOff>
    </xdr:from>
    <xdr:to>
      <xdr:col>2</xdr:col>
      <xdr:colOff>521889</xdr:colOff>
      <xdr:row>8</xdr:row>
      <xdr:rowOff>147434</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08E04FEA-6A4E-7FAD-51F2-351721E1E7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62755" y="578884"/>
              <a:ext cx="1829437" cy="14671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453628</xdr:colOff>
      <xdr:row>9</xdr:row>
      <xdr:rowOff>79375</xdr:rowOff>
    </xdr:from>
    <xdr:to>
      <xdr:col>2</xdr:col>
      <xdr:colOff>515937</xdr:colOff>
      <xdr:row>13</xdr:row>
      <xdr:rowOff>119062</xdr:rowOff>
    </xdr:to>
    <xdr:grpSp>
      <xdr:nvGrpSpPr>
        <xdr:cNvPr id="19" name="Group 18">
          <a:extLst>
            <a:ext uri="{FF2B5EF4-FFF2-40B4-BE49-F238E27FC236}">
              <a16:creationId xmlns:a16="http://schemas.microsoft.com/office/drawing/2014/main" id="{399B7BC3-EEE5-816D-E851-C81500C15B7F}"/>
            </a:ext>
          </a:extLst>
        </xdr:cNvPr>
        <xdr:cNvGrpSpPr/>
      </xdr:nvGrpSpPr>
      <xdr:grpSpPr>
        <a:xfrm>
          <a:off x="453628" y="2170385"/>
          <a:ext cx="1832612" cy="809384"/>
          <a:chOff x="476250" y="1567656"/>
          <a:chExt cx="1905000" cy="843359"/>
        </a:xfrm>
        <a:solidFill>
          <a:srgbClr val="2CD4BF"/>
        </a:solidFill>
      </xdr:grpSpPr>
      <xdr:sp macro="" textlink="'Pivot link'!A2">
        <xdr:nvSpPr>
          <xdr:cNvPr id="12" name="Rounded Rectangle 11">
            <a:extLst>
              <a:ext uri="{FF2B5EF4-FFF2-40B4-BE49-F238E27FC236}">
                <a16:creationId xmlns:a16="http://schemas.microsoft.com/office/drawing/2014/main" id="{50D55340-ACC9-13FE-6A8E-59F64C43A008}"/>
              </a:ext>
            </a:extLst>
          </xdr:cNvPr>
          <xdr:cNvSpPr/>
        </xdr:nvSpPr>
        <xdr:spPr>
          <a:xfrm>
            <a:off x="476250" y="1567656"/>
            <a:ext cx="1905000" cy="843359"/>
          </a:xfrm>
          <a:prstGeom prst="roundRect">
            <a:avLst/>
          </a:prstGeom>
          <a:grpFill/>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5F22CFD0-1CF3-F043-8AD7-FDB0F27EC11F}" type="TxLink">
              <a:rPr lang="en-US" sz="2000" b="1" i="0" u="none" strike="noStrike">
                <a:solidFill>
                  <a:srgbClr val="000000"/>
                </a:solidFill>
                <a:latin typeface="Calibri"/>
                <a:cs typeface="Calibri"/>
              </a:rPr>
              <a:t> ₱1,118,705.00 </a:t>
            </a:fld>
            <a:endParaRPr lang="en-US" sz="3600" b="1">
              <a:solidFill>
                <a:schemeClr val="tx1"/>
              </a:solidFill>
            </a:endParaRPr>
          </a:p>
        </xdr:txBody>
      </xdr:sp>
      <xdr:sp macro="" textlink="">
        <xdr:nvSpPr>
          <xdr:cNvPr id="13" name="TextBox 12">
            <a:extLst>
              <a:ext uri="{FF2B5EF4-FFF2-40B4-BE49-F238E27FC236}">
                <a16:creationId xmlns:a16="http://schemas.microsoft.com/office/drawing/2014/main" id="{E8337A64-4809-A0F4-59B1-8039A9AA526F}"/>
              </a:ext>
            </a:extLst>
          </xdr:cNvPr>
          <xdr:cNvSpPr txBox="1"/>
        </xdr:nvSpPr>
        <xdr:spPr>
          <a:xfrm>
            <a:off x="535781" y="1666876"/>
            <a:ext cx="813684" cy="322460"/>
          </a:xfrm>
          <a:prstGeom prst="rect">
            <a:avLst/>
          </a:prstGeom>
          <a:solidFill>
            <a:srgbClr val="2CD4BF"/>
          </a:solidFill>
          <a:ln>
            <a:noFill/>
          </a:ln>
        </xdr:spPr>
        <xdr:style>
          <a:lnRef idx="2">
            <a:schemeClr val="dk1"/>
          </a:lnRef>
          <a:fillRef idx="1">
            <a:schemeClr val="lt1"/>
          </a:fillRef>
          <a:effectRef idx="0">
            <a:schemeClr val="dk1"/>
          </a:effectRef>
          <a:fontRef idx="minor">
            <a:schemeClr val="dk1"/>
          </a:fontRef>
        </xdr:style>
        <xdr:txBody>
          <a:bodyPr vertOverflow="clip" horzOverflow="clip" wrap="none" rtlCol="0" anchor="t">
            <a:noAutofit/>
          </a:bodyPr>
          <a:lstStyle/>
          <a:p>
            <a:r>
              <a:rPr lang="en-US" sz="1100" b="1"/>
              <a:t>Total</a:t>
            </a:r>
            <a:r>
              <a:rPr lang="en-US" sz="1100" b="1" baseline="0"/>
              <a:t> Sales</a:t>
            </a:r>
          </a:p>
          <a:p>
            <a:endParaRPr lang="en-US" sz="1100" b="1"/>
          </a:p>
        </xdr:txBody>
      </xdr:sp>
    </xdr:grpSp>
    <xdr:clientData/>
  </xdr:twoCellAnchor>
  <xdr:twoCellAnchor>
    <xdr:from>
      <xdr:col>0</xdr:col>
      <xdr:colOff>446485</xdr:colOff>
      <xdr:row>14</xdr:row>
      <xdr:rowOff>128984</xdr:rowOff>
    </xdr:from>
    <xdr:to>
      <xdr:col>2</xdr:col>
      <xdr:colOff>496094</xdr:colOff>
      <xdr:row>19</xdr:row>
      <xdr:rowOff>29765</xdr:rowOff>
    </xdr:to>
    <xdr:grpSp>
      <xdr:nvGrpSpPr>
        <xdr:cNvPr id="18" name="Group 17">
          <a:extLst>
            <a:ext uri="{FF2B5EF4-FFF2-40B4-BE49-F238E27FC236}">
              <a16:creationId xmlns:a16="http://schemas.microsoft.com/office/drawing/2014/main" id="{4B2A6B63-A6C8-EDBA-2B17-B4F544B74000}"/>
            </a:ext>
          </a:extLst>
        </xdr:cNvPr>
        <xdr:cNvGrpSpPr/>
      </xdr:nvGrpSpPr>
      <xdr:grpSpPr>
        <a:xfrm>
          <a:off x="446485" y="3182115"/>
          <a:ext cx="1819912" cy="862903"/>
          <a:chOff x="426641" y="2649141"/>
          <a:chExt cx="1905000" cy="843359"/>
        </a:xfrm>
        <a:solidFill>
          <a:srgbClr val="2CD4BF"/>
        </a:solidFill>
      </xdr:grpSpPr>
      <xdr:sp macro="" textlink="'Pivot link'!A5">
        <xdr:nvSpPr>
          <xdr:cNvPr id="14" name="Rounded Rectangle 13">
            <a:extLst>
              <a:ext uri="{FF2B5EF4-FFF2-40B4-BE49-F238E27FC236}">
                <a16:creationId xmlns:a16="http://schemas.microsoft.com/office/drawing/2014/main" id="{E423C749-74CF-414B-B18E-03CF4D1301EC}"/>
              </a:ext>
            </a:extLst>
          </xdr:cNvPr>
          <xdr:cNvSpPr/>
        </xdr:nvSpPr>
        <xdr:spPr>
          <a:xfrm>
            <a:off x="426641" y="2649141"/>
            <a:ext cx="1905000" cy="843359"/>
          </a:xfrm>
          <a:prstGeom prst="roundRect">
            <a:avLst/>
          </a:prstGeom>
          <a:grpFill/>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42536A96-9C60-3147-AE58-A57C429020FF}" type="TxLink">
              <a:rPr lang="en-US" sz="2800" b="0" i="0" u="none" strike="noStrike">
                <a:solidFill>
                  <a:srgbClr val="000000"/>
                </a:solidFill>
                <a:latin typeface="Calibri"/>
                <a:cs typeface="Calibri"/>
              </a:rPr>
              <a:t>6</a:t>
            </a:fld>
            <a:endParaRPr lang="en-US" sz="7200" b="1">
              <a:solidFill>
                <a:schemeClr val="tx1"/>
              </a:solidFill>
            </a:endParaRPr>
          </a:p>
        </xdr:txBody>
      </xdr:sp>
      <xdr:sp macro="" textlink="">
        <xdr:nvSpPr>
          <xdr:cNvPr id="17" name="TextBox 16">
            <a:extLst>
              <a:ext uri="{FF2B5EF4-FFF2-40B4-BE49-F238E27FC236}">
                <a16:creationId xmlns:a16="http://schemas.microsoft.com/office/drawing/2014/main" id="{8DD2ADE6-BAD8-598B-792B-49FAA66633B4}"/>
              </a:ext>
            </a:extLst>
          </xdr:cNvPr>
          <xdr:cNvSpPr txBox="1"/>
        </xdr:nvSpPr>
        <xdr:spPr>
          <a:xfrm>
            <a:off x="635001" y="2718594"/>
            <a:ext cx="1584857" cy="264560"/>
          </a:xfrm>
          <a:prstGeom prst="rect">
            <a:avLst/>
          </a:prstGeom>
          <a:grpFill/>
          <a:ln>
            <a:noFill/>
          </a:ln>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US" sz="1100" b="1"/>
              <a:t>Average</a:t>
            </a:r>
            <a:r>
              <a:rPr lang="en-US" sz="1100" b="1" baseline="0"/>
              <a:t> Days to Deliver</a:t>
            </a:r>
            <a:endParaRPr lang="en-US" sz="1100" b="1"/>
          </a:p>
        </xdr:txBody>
      </xdr:sp>
    </xdr:grpSp>
    <xdr:clientData/>
  </xdr:twoCellAnchor>
  <xdr:twoCellAnchor>
    <xdr:from>
      <xdr:col>13</xdr:col>
      <xdr:colOff>168474</xdr:colOff>
      <xdr:row>3</xdr:row>
      <xdr:rowOff>29764</xdr:rowOff>
    </xdr:from>
    <xdr:to>
      <xdr:col>17</xdr:col>
      <xdr:colOff>11510</xdr:colOff>
      <xdr:row>17</xdr:row>
      <xdr:rowOff>59531</xdr:rowOff>
    </xdr:to>
    <xdr:graphicFrame macro="">
      <xdr:nvGraphicFramePr>
        <xdr:cNvPr id="20" name="Chart 19">
          <a:extLst>
            <a:ext uri="{FF2B5EF4-FFF2-40B4-BE49-F238E27FC236}">
              <a16:creationId xmlns:a16="http://schemas.microsoft.com/office/drawing/2014/main" id="{A04B96B6-F813-131F-C18D-7E9DCE324A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Aler" refreshedDate="46093.057353240743" createdVersion="8" refreshedVersion="8" minRefreshableVersion="3" recordCount="50" xr:uid="{99B097F0-3F5B-3A44-AB32-AE1382FA2963}">
  <cacheSource type="worksheet">
    <worksheetSource name="Query1"/>
  </cacheSource>
  <cacheFields count="24">
    <cacheField name="Order Id" numFmtId="0">
      <sharedItems/>
    </cacheField>
    <cacheField name="Order Date" numFmtId="14">
      <sharedItems containsSemiMixedTypes="0" containsNonDate="0" containsDate="1" containsString="0" minDate="2024-01-05T00:00:00" maxDate="2024-05-26T00:00:00" count="50">
        <d v="2024-01-05T00:00:00"/>
        <d v="2024-01-08T00:00:00"/>
        <d v="2024-01-10T00:00:00"/>
        <d v="2024-01-12T00:00:00"/>
        <d v="2024-01-15T00:00:00"/>
        <d v="2024-01-18T00:00:00"/>
        <d v="2024-01-20T00:00:00"/>
        <d v="2024-01-22T00:00:00"/>
        <d v="2024-01-25T00:00:00"/>
        <d v="2024-01-28T00:00:00"/>
        <d v="2024-02-01T00:00:00"/>
        <d v="2024-02-03T00:00:00"/>
        <d v="2024-02-05T00:00:00"/>
        <d v="2024-02-08T00:00:00"/>
        <d v="2024-02-10T00:00:00"/>
        <d v="2024-02-12T00:00:00"/>
        <d v="2024-02-14T00:00:00"/>
        <d v="2024-02-18T00:00:00"/>
        <d v="2024-02-20T00:00:00"/>
        <d v="2024-02-22T00:00:00"/>
        <d v="2024-03-01T00:00:00"/>
        <d v="2024-03-03T00:00:00"/>
        <d v="2024-03-05T00:00:00"/>
        <d v="2024-03-07T00:00:00"/>
        <d v="2024-03-10T00:00:00"/>
        <d v="2024-03-12T00:00:00"/>
        <d v="2024-03-15T00:00:00"/>
        <d v="2024-03-18T00:00:00"/>
        <d v="2024-03-20T00:00:00"/>
        <d v="2024-03-22T00:00:00"/>
        <d v="2024-04-02T00:00:00"/>
        <d v="2024-04-04T00:00:00"/>
        <d v="2024-04-07T00:00:00"/>
        <d v="2024-04-09T00:00:00"/>
        <d v="2024-04-11T00:00:00"/>
        <d v="2024-04-15T00:00:00"/>
        <d v="2024-04-17T00:00:00"/>
        <d v="2024-04-19T00:00:00"/>
        <d v="2024-04-22T00:00:00"/>
        <d v="2024-04-25T00:00:00"/>
        <d v="2024-05-02T00:00:00"/>
        <d v="2024-05-05T00:00:00"/>
        <d v="2024-05-07T00:00:00"/>
        <d v="2024-05-09T00:00:00"/>
        <d v="2024-05-12T00:00:00"/>
        <d v="2024-05-15T00:00:00"/>
        <d v="2024-05-18T00:00:00"/>
        <d v="2024-05-20T00:00:00"/>
        <d v="2024-05-22T00:00:00"/>
        <d v="2024-05-25T00:00:00"/>
      </sharedItems>
      <fieldGroup par="22"/>
    </cacheField>
    <cacheField name="First_Name" numFmtId="0">
      <sharedItems/>
    </cacheField>
    <cacheField name="Last_Name" numFmtId="0">
      <sharedItems/>
    </cacheField>
    <cacheField name="Customer_Email" numFmtId="0">
      <sharedItems containsBlank="1"/>
    </cacheField>
    <cacheField name="Region" numFmtId="0">
      <sharedItems count="4">
        <s v="NCR"/>
        <s v="Visayas"/>
        <s v="Mindanao"/>
        <s v="Luzon"/>
      </sharedItems>
    </cacheField>
    <cacheField name="Sales Rep" numFmtId="0">
      <sharedItems count="3">
        <s v="Juan Dela Cruz"/>
        <s v="Ana Lim"/>
        <s v="Carlos Tan"/>
      </sharedItems>
    </cacheField>
    <cacheField name="Salesrep Id" numFmtId="0">
      <sharedItems/>
    </cacheField>
    <cacheField name="Product Category" numFmtId="0">
      <sharedItems count="4">
        <s v="Electronics"/>
        <s v="Appliances"/>
        <s v="Furniture"/>
        <s v="Clothing"/>
      </sharedItems>
    </cacheField>
    <cacheField name="Product Name" numFmtId="0">
      <sharedItems count="21">
        <s v="Laptop"/>
        <s v="Smartphone"/>
        <s v="Electric Fan"/>
        <s v="Office Chair"/>
        <s v="Tablet"/>
        <s v="Aircon"/>
        <s v="Uniform Set"/>
        <s v="Sofa"/>
        <s v="Refrigerator"/>
        <s v="Smart Tv"/>
        <s v="Polo Shirt"/>
        <s v="Dining Table"/>
        <s v="Headphones"/>
        <s v="Washing Machine"/>
        <s v="Dress"/>
        <s v="Bookshelf"/>
        <s v="Microwave"/>
        <s v="Bed Frame"/>
        <s v="Jeans"/>
        <s v="Study Desk"/>
        <s v="Jacket"/>
      </sharedItems>
    </cacheField>
    <cacheField name="Quantity" numFmtId="0">
      <sharedItems containsSemiMixedTypes="0" containsString="0" containsNumber="1" containsInteger="1" minValue="1" maxValue="15"/>
    </cacheField>
    <cacheField name="Unit Price (Php)" numFmtId="0">
      <sharedItems containsSemiMixedTypes="0" containsString="0" containsNumber="1" containsInteger="1" minValue="500" maxValue="45000"/>
    </cacheField>
    <cacheField name="Discount%" numFmtId="0">
      <sharedItems containsSemiMixedTypes="0" containsString="0" containsNumber="1" minValue="0" maxValue="0.25"/>
    </cacheField>
    <cacheField name="Total Sale" numFmtId="0">
      <sharedItems containsSemiMixedTypes="0" containsString="0" containsNumber="1" containsInteger="1" minValue="2160" maxValue="81000"/>
    </cacheField>
    <cacheField name="Payment Method" numFmtId="0">
      <sharedItems count="5">
        <s v="GCash"/>
        <s v="Cash"/>
        <s v="Bank Transfer"/>
        <s v="Credit Card"/>
        <s v="Installment"/>
      </sharedItems>
    </cacheField>
    <cacheField name="Status" numFmtId="0">
      <sharedItems/>
    </cacheField>
    <cacheField name="Delivery Date" numFmtId="14">
      <sharedItems containsNonDate="0" containsDate="1" containsString="0" containsBlank="1" minDate="2024-01-10T00:00:00" maxDate="2024-05-29T00:00:00" count="42">
        <d v="2024-01-10T00:00:00"/>
        <d v="2024-01-15T00:00:00"/>
        <m/>
        <d v="2024-01-18T00:00:00"/>
        <d v="2024-01-25T00:00:00"/>
        <d v="2024-01-27T00:00:00"/>
        <d v="2024-01-28T00:00:00"/>
        <d v="2024-02-01T00:00:00"/>
        <d v="2024-02-07T00:00:00"/>
        <d v="2024-02-10T00:00:00"/>
        <d v="2024-02-12T00:00:00"/>
        <d v="2024-02-14T00:00:00"/>
        <d v="2024-02-17T00:00:00"/>
        <d v="2024-02-18T00:00:00"/>
        <d v="2024-02-20T00:00:00"/>
        <d v="2024-02-26T00:00:00"/>
        <d v="2024-02-28T00:00:00"/>
        <d v="2024-03-08T00:00:00"/>
        <d v="2024-03-09T00:00:00"/>
        <d v="2024-03-12T00:00:00"/>
        <d v="2024-03-17T00:00:00"/>
        <d v="2024-03-19T00:00:00"/>
        <d v="2024-03-21T00:00:00"/>
        <d v="2024-03-22T00:00:00"/>
        <d v="2024-03-27T00:00:00"/>
        <d v="2024-03-28T00:00:00"/>
        <d v="2024-04-09T00:00:00"/>
        <d v="2024-04-14T00:00:00"/>
        <d v="2024-04-15T00:00:00"/>
        <d v="2024-04-18T00:00:00"/>
        <d v="2024-04-21T00:00:00"/>
        <d v="2024-04-20T00:00:00"/>
        <d v="2024-04-25T00:00:00"/>
        <d v="2024-04-28T00:00:00"/>
        <d v="2024-05-09T00:00:00"/>
        <d v="2024-05-11T00:00:00"/>
        <d v="2024-05-15T00:00:00"/>
        <d v="2024-05-18T00:00:00"/>
        <d v="2024-05-22T00:00:00"/>
        <d v="2024-05-24T00:00:00"/>
        <d v="2024-05-27T00:00:00"/>
        <d v="2024-05-28T00:00:00"/>
      </sharedItems>
      <fieldGroup par="20"/>
    </cacheField>
    <cacheField name="Notes" numFmtId="0">
      <sharedItems containsBlank="1"/>
    </cacheField>
    <cacheField name="Days to Deliver" numFmtId="1">
      <sharedItems containsMixedTypes="1" containsNumber="1" containsInteger="1" minValue="3" maxValue="7" count="6">
        <n v="5"/>
        <n v="7"/>
        <s v=""/>
        <n v="6"/>
        <n v="4"/>
        <n v="3"/>
      </sharedItems>
    </cacheField>
    <cacheField name="Days (Delivery Date)" numFmtId="0" databaseField="0">
      <fieldGroup base="16">
        <rangePr groupBy="days" startDate="2024-01-10T00:00:00" endDate="2024-05-29T00:00:00"/>
        <groupItems count="368">
          <s v="&lt;1/1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29/24"/>
        </groupItems>
      </fieldGroup>
    </cacheField>
    <cacheField name="Months (Delivery Date)" numFmtId="0" databaseField="0">
      <fieldGroup base="16">
        <rangePr groupBy="months" startDate="2024-01-10T00:00:00" endDate="2024-05-29T00:00:00"/>
        <groupItems count="14">
          <s v="&lt;1/10/24"/>
          <s v="Jan"/>
          <s v="Feb"/>
          <s v="Mar"/>
          <s v="Apr"/>
          <s v="May"/>
          <s v="Jun"/>
          <s v="Jul"/>
          <s v="Aug"/>
          <s v="Sep"/>
          <s v="Oct"/>
          <s v="Nov"/>
          <s v="Dec"/>
          <s v="&gt;5/29/24"/>
        </groupItems>
      </fieldGroup>
    </cacheField>
    <cacheField name="Days (Order Date)" numFmtId="0" databaseField="0">
      <fieldGroup base="1">
        <rangePr groupBy="days" startDate="2024-01-05T00:00:00" endDate="2024-05-26T00:00:00"/>
        <groupItems count="368">
          <s v="&lt;1/5/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26/24"/>
        </groupItems>
      </fieldGroup>
    </cacheField>
    <cacheField name="Months (Order Date)" numFmtId="0" databaseField="0">
      <fieldGroup base="1">
        <rangePr groupBy="months" startDate="2024-01-05T00:00:00" endDate="2024-05-26T00:00:00"/>
        <groupItems count="14">
          <s v="&lt;1/5/24"/>
          <s v="Jan"/>
          <s v="Feb"/>
          <s v="Mar"/>
          <s v="Apr"/>
          <s v="May"/>
          <s v="Jun"/>
          <s v="Jul"/>
          <s v="Aug"/>
          <s v="Sep"/>
          <s v="Oct"/>
          <s v="Nov"/>
          <s v="Dec"/>
          <s v="&gt;5/26/24"/>
        </groupItems>
      </fieldGroup>
    </cacheField>
    <cacheField name="DaysToDeliver" numFmtId="0" formula="'Order Date' -'Delivery Date'" databaseField="0"/>
  </cacheFields>
  <extLst>
    <ext xmlns:x14="http://schemas.microsoft.com/office/spreadsheetml/2009/9/main" uri="{725AE2AE-9491-48be-B2B4-4EB974FC3084}">
      <x14:pivotCacheDefinition pivotCacheId="7405913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ORD-1001"/>
    <x v="0"/>
    <s v="Maria"/>
    <s v="Santos"/>
    <s v="maria.santos@gmail.com"/>
    <x v="0"/>
    <x v="0"/>
    <s v="REP-01"/>
    <x v="0"/>
    <x v="0"/>
    <n v="2"/>
    <n v="45000"/>
    <n v="0.1"/>
    <n v="81000"/>
    <x v="0"/>
    <s v="Delivered"/>
    <x v="0"/>
    <m/>
    <x v="0"/>
  </r>
  <r>
    <s v="ORD-1002"/>
    <x v="1"/>
    <s v="Jose"/>
    <s v="Reyes"/>
    <s v="jose_reyes@yahoo.com"/>
    <x v="1"/>
    <x v="1"/>
    <s v="REP-02"/>
    <x v="0"/>
    <x v="1"/>
    <n v="1"/>
    <n v="18500"/>
    <n v="0.05"/>
    <n v="17575"/>
    <x v="1"/>
    <s v="Delivered"/>
    <x v="1"/>
    <s v="Fragile Item"/>
    <x v="1"/>
  </r>
  <r>
    <s v="ORD-1003"/>
    <x v="2"/>
    <s v="Pedro"/>
    <s v="Garcia"/>
    <s v="pedro.garcia@gmail.com"/>
    <x v="2"/>
    <x v="0"/>
    <s v="REP-01"/>
    <x v="1"/>
    <x v="2"/>
    <n v="3"/>
    <n v="2500"/>
    <n v="0"/>
    <n v="7500"/>
    <x v="2"/>
    <s v="Pending"/>
    <x v="2"/>
    <s v="Awaiting Stock"/>
    <x v="2"/>
  </r>
  <r>
    <s v="ORD-1004"/>
    <x v="3"/>
    <s v="Rosa"/>
    <s v="Dela Cruz"/>
    <m/>
    <x v="0"/>
    <x v="1"/>
    <s v="REP-02"/>
    <x v="2"/>
    <x v="3"/>
    <n v="1"/>
    <n v="8900"/>
    <n v="0.15"/>
    <n v="7565"/>
    <x v="0"/>
    <s v="Delivered"/>
    <x v="3"/>
    <m/>
    <x v="3"/>
  </r>
  <r>
    <s v="ORD-1005"/>
    <x v="4"/>
    <s v="John"/>
    <s v="Smith"/>
    <s v="jsmith@gmail.com"/>
    <x v="3"/>
    <x v="2"/>
    <s v="REP-03"/>
    <x v="0"/>
    <x v="4"/>
    <n v="2"/>
    <n v="12000"/>
    <n v="0.1"/>
    <n v="21600"/>
    <x v="3"/>
    <s v="Cancelled"/>
    <x v="2"/>
    <s v="Customer Cancelled"/>
    <x v="2"/>
  </r>
  <r>
    <s v="ORD-1006"/>
    <x v="5"/>
    <s v="Maria"/>
    <s v="Santos"/>
    <s v="maria.santos@gmail.com"/>
    <x v="0"/>
    <x v="0"/>
    <s v="REP-01"/>
    <x v="1"/>
    <x v="5"/>
    <n v="1"/>
    <n v="32000"/>
    <n v="0.05"/>
    <n v="30400"/>
    <x v="4"/>
    <s v="Delivered"/>
    <x v="4"/>
    <m/>
    <x v="1"/>
  </r>
  <r>
    <s v="ORD-1007"/>
    <x v="6"/>
    <s v="Anna"/>
    <s v="Reyes"/>
    <s v="anna.reyes@outlook.com"/>
    <x v="1"/>
    <x v="1"/>
    <s v="REP-02"/>
    <x v="3"/>
    <x v="6"/>
    <n v="10"/>
    <n v="500"/>
    <n v="0.2"/>
    <n v="4000"/>
    <x v="1"/>
    <s v="Delivered"/>
    <x v="5"/>
    <s v="Bulk Order"/>
    <x v="1"/>
  </r>
  <r>
    <s v="ORD-1008"/>
    <x v="7"/>
    <s v="Ben"/>
    <s v="Cruz"/>
    <s v="bencruz@gmail.com"/>
    <x v="2"/>
    <x v="2"/>
    <s v="REP-03"/>
    <x v="0"/>
    <x v="0"/>
    <n v="1"/>
    <n v="45000"/>
    <n v="0"/>
    <n v="45000"/>
    <x v="0"/>
    <s v="Returned"/>
    <x v="6"/>
    <s v="Defective Unit"/>
    <x v="3"/>
  </r>
  <r>
    <s v="ORD-1009"/>
    <x v="8"/>
    <s v="Liza"/>
    <s v="Fernandez"/>
    <s v="liza_fernandez@yahoo.com"/>
    <x v="0"/>
    <x v="0"/>
    <s v="REP-01"/>
    <x v="2"/>
    <x v="7"/>
    <n v="1"/>
    <n v="25000"/>
    <n v="0.1"/>
    <n v="22500"/>
    <x v="2"/>
    <s v="Delivered"/>
    <x v="7"/>
    <m/>
    <x v="1"/>
  </r>
  <r>
    <s v="ORD-1010"/>
    <x v="9"/>
    <s v="Mark"/>
    <s v="Villanueva"/>
    <s v="mvillanueva@email.com"/>
    <x v="3"/>
    <x v="1"/>
    <s v="REP-02"/>
    <x v="1"/>
    <x v="8"/>
    <n v="1"/>
    <n v="28000"/>
    <n v="0.05"/>
    <n v="26600"/>
    <x v="4"/>
    <s v="Pending"/>
    <x v="2"/>
    <m/>
    <x v="2"/>
  </r>
  <r>
    <s v="ORD-1011"/>
    <x v="10"/>
    <s v="Claire"/>
    <s v="Santos"/>
    <s v="claire.s@gmail.com"/>
    <x v="0"/>
    <x v="2"/>
    <s v="REP-03"/>
    <x v="0"/>
    <x v="9"/>
    <n v="1"/>
    <n v="35000"/>
    <n v="0.08"/>
    <n v="32200"/>
    <x v="3"/>
    <s v="Delivered"/>
    <x v="8"/>
    <m/>
    <x v="3"/>
  </r>
  <r>
    <s v="ORD-1012"/>
    <x v="11"/>
    <s v="Rico"/>
    <s v="Mangahas"/>
    <s v="rico_mangahas@gmail.com"/>
    <x v="1"/>
    <x v="0"/>
    <s v="REP-01"/>
    <x v="3"/>
    <x v="10"/>
    <n v="5"/>
    <n v="800"/>
    <n v="0"/>
    <n v="4000"/>
    <x v="1"/>
    <s v="Delivered"/>
    <x v="9"/>
    <m/>
    <x v="1"/>
  </r>
  <r>
    <s v="ORD-1013"/>
    <x v="12"/>
    <s v="Nena"/>
    <s v="Aguilar"/>
    <s v="nena.aguilar@yahoo.com"/>
    <x v="2"/>
    <x v="1"/>
    <s v="REP-02"/>
    <x v="2"/>
    <x v="11"/>
    <n v="1"/>
    <n v="15000"/>
    <n v="0.1"/>
    <n v="13500"/>
    <x v="0"/>
    <s v="Delivered"/>
    <x v="10"/>
    <m/>
    <x v="1"/>
  </r>
  <r>
    <s v="ORD-1014"/>
    <x v="13"/>
    <s v="Dan"/>
    <s v="Pascual"/>
    <m/>
    <x v="0"/>
    <x v="2"/>
    <s v="REP-03"/>
    <x v="0"/>
    <x v="12"/>
    <n v="3"/>
    <n v="2500"/>
    <n v="0.05"/>
    <n v="7125"/>
    <x v="1"/>
    <s v="Delivered"/>
    <x v="11"/>
    <s v="Gift"/>
    <x v="3"/>
  </r>
  <r>
    <s v="ORD-1015"/>
    <x v="14"/>
    <s v="Lea"/>
    <s v="Castro"/>
    <s v="lea.castro@gmail.com"/>
    <x v="3"/>
    <x v="0"/>
    <s v="REP-01"/>
    <x v="1"/>
    <x v="13"/>
    <n v="1"/>
    <n v="22000"/>
    <n v="0.1"/>
    <n v="19800"/>
    <x v="4"/>
    <s v="Delivered"/>
    <x v="12"/>
    <m/>
    <x v="1"/>
  </r>
  <r>
    <s v="ORD-1016"/>
    <x v="15"/>
    <s v="Mario"/>
    <s v="Bautista"/>
    <s v="mario.b@outlook.com"/>
    <x v="0"/>
    <x v="1"/>
    <s v="REP-02"/>
    <x v="0"/>
    <x v="1"/>
    <n v="2"/>
    <n v="18500"/>
    <n v="0"/>
    <n v="37000"/>
    <x v="0"/>
    <s v="Delivered"/>
    <x v="13"/>
    <m/>
    <x v="3"/>
  </r>
  <r>
    <s v="ORD-1017"/>
    <x v="16"/>
    <s v="Grace"/>
    <s v="Tolentino"/>
    <s v="gracet@gmail.com"/>
    <x v="1"/>
    <x v="2"/>
    <s v="REP-03"/>
    <x v="3"/>
    <x v="14"/>
    <n v="3"/>
    <n v="1200"/>
    <n v="0.15"/>
    <n v="3060"/>
    <x v="1"/>
    <s v="Delivered"/>
    <x v="14"/>
    <m/>
    <x v="3"/>
  </r>
  <r>
    <s v="ORD-1018"/>
    <x v="17"/>
    <s v="Roy"/>
    <s v="Medina"/>
    <s v="roy.medina@yahoo.com"/>
    <x v="2"/>
    <x v="0"/>
    <s v="REP-01"/>
    <x v="2"/>
    <x v="15"/>
    <n v="2"/>
    <n v="6500"/>
    <n v="0.05"/>
    <n v="12350"/>
    <x v="2"/>
    <s v="Pending"/>
    <x v="2"/>
    <s v="Delayed Shipment"/>
    <x v="2"/>
  </r>
  <r>
    <s v="ORD-1019"/>
    <x v="18"/>
    <s v="Tina"/>
    <s v="Soriano"/>
    <s v="tina_soriano@gmail.com"/>
    <x v="0"/>
    <x v="1"/>
    <s v="REP-02"/>
    <x v="1"/>
    <x v="16"/>
    <n v="1"/>
    <n v="8500"/>
    <n v="0"/>
    <n v="8500"/>
    <x v="3"/>
    <s v="Delivered"/>
    <x v="15"/>
    <m/>
    <x v="3"/>
  </r>
  <r>
    <s v="ORD-1020"/>
    <x v="19"/>
    <s v="Andy"/>
    <s v="Santos"/>
    <s v="andys@email.com"/>
    <x v="3"/>
    <x v="2"/>
    <s v="REP-03"/>
    <x v="0"/>
    <x v="0"/>
    <n v="1"/>
    <n v="45000"/>
    <n v="0.12"/>
    <n v="39600"/>
    <x v="0"/>
    <s v="Delivered"/>
    <x v="16"/>
    <m/>
    <x v="3"/>
  </r>
  <r>
    <s v="ORD-1021"/>
    <x v="20"/>
    <s v="Carla"/>
    <s v="Ramos"/>
    <s v="carla.ramos@gmail.com"/>
    <x v="0"/>
    <x v="0"/>
    <s v="REP-01"/>
    <x v="2"/>
    <x v="17"/>
    <n v="1"/>
    <n v="18000"/>
    <n v="0.1"/>
    <n v="16200"/>
    <x v="4"/>
    <s v="Delivered"/>
    <x v="17"/>
    <m/>
    <x v="1"/>
  </r>
  <r>
    <s v="ORD-1022"/>
    <x v="21"/>
    <s v="Victor"/>
    <s v="Flores"/>
    <s v="vflores@yahoo.com"/>
    <x v="1"/>
    <x v="1"/>
    <s v="REP-02"/>
    <x v="1"/>
    <x v="2"/>
    <n v="4"/>
    <n v="2500"/>
    <n v="0"/>
    <n v="10000"/>
    <x v="1"/>
    <s v="Delivered"/>
    <x v="18"/>
    <m/>
    <x v="3"/>
  </r>
  <r>
    <s v="ORD-1023"/>
    <x v="22"/>
    <s v="Alice"/>
    <s v="Navarro"/>
    <s v="alice.n@gmail.com"/>
    <x v="2"/>
    <x v="2"/>
    <s v="REP-03"/>
    <x v="0"/>
    <x v="9"/>
    <n v="2"/>
    <n v="35000"/>
    <n v="0.05"/>
    <n v="66500"/>
    <x v="3"/>
    <s v="Delivered"/>
    <x v="19"/>
    <m/>
    <x v="1"/>
  </r>
  <r>
    <s v="ORD-1024"/>
    <x v="23"/>
    <s v="Eddie"/>
    <s v="Panganiban"/>
    <m/>
    <x v="0"/>
    <x v="0"/>
    <s v="REP-01"/>
    <x v="3"/>
    <x v="18"/>
    <n v="6"/>
    <n v="1500"/>
    <n v="0.1"/>
    <n v="8100"/>
    <x v="0"/>
    <s v="Cancelled"/>
    <x v="2"/>
    <s v="Out Of Stock"/>
    <x v="2"/>
  </r>
  <r>
    <s v="ORD-1025"/>
    <x v="24"/>
    <s v="Rhea"/>
    <s v="Delos Reyes"/>
    <s v="rhea_dr@outlook.com"/>
    <x v="3"/>
    <x v="1"/>
    <s v="REP-02"/>
    <x v="2"/>
    <x v="19"/>
    <n v="1"/>
    <n v="9500"/>
    <n v="0"/>
    <n v="9500"/>
    <x v="1"/>
    <s v="Delivered"/>
    <x v="20"/>
    <m/>
    <x v="1"/>
  </r>
  <r>
    <s v="ORD-1026"/>
    <x v="25"/>
    <s v="Fred"/>
    <s v="Coronel"/>
    <s v="fcoronel@gmail.com"/>
    <x v="0"/>
    <x v="2"/>
    <s v="REP-03"/>
    <x v="1"/>
    <x v="5"/>
    <n v="2"/>
    <n v="32000"/>
    <n v="0.08"/>
    <n v="58880"/>
    <x v="4"/>
    <s v="Delivered"/>
    <x v="21"/>
    <m/>
    <x v="1"/>
  </r>
  <r>
    <s v="ORD-1027"/>
    <x v="26"/>
    <s v="Helen"/>
    <s v="Dizon"/>
    <s v="hdizon@yahoo.com"/>
    <x v="1"/>
    <x v="0"/>
    <s v="REP-01"/>
    <x v="0"/>
    <x v="4"/>
    <n v="3"/>
    <n v="12000"/>
    <n v="0.1"/>
    <n v="32400"/>
    <x v="0"/>
    <s v="Delivered"/>
    <x v="22"/>
    <m/>
    <x v="3"/>
  </r>
  <r>
    <s v="ORD-1028"/>
    <x v="27"/>
    <s v="Ronnie"/>
    <s v="Valdez"/>
    <s v="ronnie.v@gmail.com"/>
    <x v="2"/>
    <x v="1"/>
    <s v="REP-02"/>
    <x v="3"/>
    <x v="20"/>
    <n v="2"/>
    <n v="2200"/>
    <n v="0.05"/>
    <n v="4180"/>
    <x v="1"/>
    <s v="Returned"/>
    <x v="23"/>
    <s v="Wrong Size"/>
    <x v="4"/>
  </r>
  <r>
    <s v="ORD-1029"/>
    <x v="28"/>
    <s v="Sonia"/>
    <s v="Buenaventura"/>
    <s v="soniab@email.com"/>
    <x v="0"/>
    <x v="2"/>
    <s v="REP-03"/>
    <x v="1"/>
    <x v="8"/>
    <n v="1"/>
    <n v="28000"/>
    <n v="0.1"/>
    <n v="25200"/>
    <x v="2"/>
    <s v="Delivered"/>
    <x v="24"/>
    <m/>
    <x v="1"/>
  </r>
  <r>
    <s v="ORD-1030"/>
    <x v="29"/>
    <s v="Jojo"/>
    <s v="Estrada"/>
    <s v="jojoestrada@gmail.com"/>
    <x v="3"/>
    <x v="0"/>
    <s v="REP-01"/>
    <x v="0"/>
    <x v="12"/>
    <n v="5"/>
    <n v="2500"/>
    <n v="0"/>
    <n v="12500"/>
    <x v="0"/>
    <s v="Delivered"/>
    <x v="25"/>
    <m/>
    <x v="3"/>
  </r>
  <r>
    <s v="ORD-1031"/>
    <x v="30"/>
    <s v="Milagros"/>
    <s v="Cruz"/>
    <s v="milagros.c@gmail.com"/>
    <x v="0"/>
    <x v="1"/>
    <s v="REP-02"/>
    <x v="2"/>
    <x v="7"/>
    <n v="1"/>
    <n v="25000"/>
    <n v="0.15"/>
    <n v="21250"/>
    <x v="3"/>
    <s v="Delivered"/>
    <x v="26"/>
    <m/>
    <x v="1"/>
  </r>
  <r>
    <s v="ORD-1032"/>
    <x v="31"/>
    <s v="Samuel"/>
    <s v="Loco"/>
    <s v="samloco@yahoo.com"/>
    <x v="1"/>
    <x v="2"/>
    <s v="REP-03"/>
    <x v="1"/>
    <x v="13"/>
    <n v="1"/>
    <n v="22000"/>
    <n v="0.05"/>
    <n v="20900"/>
    <x v="1"/>
    <s v="Pending"/>
    <x v="2"/>
    <m/>
    <x v="2"/>
  </r>
  <r>
    <s v="ORD-1033"/>
    <x v="32"/>
    <s v="Patricia"/>
    <s v="Hernandez"/>
    <s v="pat.h@outlook.com"/>
    <x v="2"/>
    <x v="0"/>
    <s v="REP-01"/>
    <x v="0"/>
    <x v="0"/>
    <n v="1"/>
    <n v="45000"/>
    <n v="0"/>
    <n v="45000"/>
    <x v="0"/>
    <s v="Delivered"/>
    <x v="27"/>
    <m/>
    <x v="1"/>
  </r>
  <r>
    <s v="ORD-1034"/>
    <x v="33"/>
    <s v="Dennis"/>
    <s v="Abad"/>
    <m/>
    <x v="0"/>
    <x v="1"/>
    <s v="REP-02"/>
    <x v="3"/>
    <x v="10"/>
    <n v="8"/>
    <n v="800"/>
    <n v="0.2"/>
    <n v="5120"/>
    <x v="1"/>
    <s v="Delivered"/>
    <x v="28"/>
    <s v="Company Bulk Order"/>
    <x v="3"/>
  </r>
  <r>
    <s v="ORD-1035"/>
    <x v="34"/>
    <s v="Norma"/>
    <s v="Evangelista"/>
    <s v="norma.e@gmail.com"/>
    <x v="3"/>
    <x v="2"/>
    <s v="REP-03"/>
    <x v="2"/>
    <x v="3"/>
    <n v="4"/>
    <n v="8900"/>
    <n v="0.1"/>
    <n v="32040"/>
    <x v="4"/>
    <s v="Delivered"/>
    <x v="29"/>
    <m/>
    <x v="1"/>
  </r>
  <r>
    <s v="ORD-1036"/>
    <x v="35"/>
    <s v="Edgar"/>
    <s v="Montoya"/>
    <s v="edgar_m@yahoo.com"/>
    <x v="0"/>
    <x v="0"/>
    <s v="REP-01"/>
    <x v="1"/>
    <x v="16"/>
    <n v="2"/>
    <n v="8500"/>
    <n v="0.05"/>
    <n v="16150"/>
    <x v="0"/>
    <s v="Delivered"/>
    <x v="30"/>
    <m/>
    <x v="3"/>
  </r>
  <r>
    <s v="ORD-1037"/>
    <x v="36"/>
    <s v="Linda"/>
    <s v="Pascual"/>
    <s v="linda.p@gmail.com"/>
    <x v="1"/>
    <x v="1"/>
    <s v="REP-02"/>
    <x v="0"/>
    <x v="1"/>
    <n v="1"/>
    <n v="18500"/>
    <n v="0"/>
    <n v="18500"/>
    <x v="3"/>
    <s v="Returned"/>
    <x v="31"/>
    <s v="Defective"/>
    <x v="5"/>
  </r>
  <r>
    <s v="ORD-1038"/>
    <x v="37"/>
    <s v="Rudy"/>
    <s v="Magsaysay"/>
    <s v="rudym@email.com"/>
    <x v="2"/>
    <x v="2"/>
    <s v="REP-03"/>
    <x v="3"/>
    <x v="14"/>
    <n v="2"/>
    <n v="1200"/>
    <n v="0.1"/>
    <n v="2160"/>
    <x v="1"/>
    <s v="Delivered"/>
    <x v="32"/>
    <m/>
    <x v="3"/>
  </r>
  <r>
    <s v="ORD-1039"/>
    <x v="38"/>
    <s v="Cora"/>
    <s v="Aquino"/>
    <s v="cora.a@gmail.com"/>
    <x v="0"/>
    <x v="0"/>
    <s v="REP-01"/>
    <x v="1"/>
    <x v="2"/>
    <n v="2"/>
    <n v="2500"/>
    <n v="0"/>
    <n v="5000"/>
    <x v="0"/>
    <s v="Delivered"/>
    <x v="33"/>
    <m/>
    <x v="3"/>
  </r>
  <r>
    <s v="ORD-1040"/>
    <x v="39"/>
    <s v="Ben"/>
    <s v="Reyes"/>
    <s v="benreyes@yahoo.com"/>
    <x v="3"/>
    <x v="1"/>
    <s v="REP-02"/>
    <x v="0"/>
    <x v="9"/>
    <n v="1"/>
    <n v="35000"/>
    <n v="0.08"/>
    <n v="32200"/>
    <x v="2"/>
    <s v="Cancelled"/>
    <x v="2"/>
    <s v="Address Not Found"/>
    <x v="2"/>
  </r>
  <r>
    <s v="ORD-1041"/>
    <x v="40"/>
    <s v="Isabel"/>
    <s v="Morales"/>
    <s v="isabel.m@gmail.com"/>
    <x v="0"/>
    <x v="2"/>
    <s v="REP-03"/>
    <x v="2"/>
    <x v="15"/>
    <n v="3"/>
    <n v="6500"/>
    <n v="0.05"/>
    <n v="18525"/>
    <x v="1"/>
    <s v="Delivered"/>
    <x v="34"/>
    <m/>
    <x v="1"/>
  </r>
  <r>
    <s v="ORD-1042"/>
    <x v="41"/>
    <s v="Ramon"/>
    <s v="Viray"/>
    <s v="rviray@outlook.com"/>
    <x v="1"/>
    <x v="0"/>
    <s v="REP-01"/>
    <x v="0"/>
    <x v="4"/>
    <n v="2"/>
    <n v="12000"/>
    <n v="0.15"/>
    <n v="20400"/>
    <x v="0"/>
    <s v="Delivered"/>
    <x v="35"/>
    <m/>
    <x v="3"/>
  </r>
  <r>
    <s v="ORD-1043"/>
    <x v="42"/>
    <s v="Gloria"/>
    <s v="Roxas"/>
    <s v="gloria_r@yahoo.com"/>
    <x v="2"/>
    <x v="1"/>
    <s v="REP-02"/>
    <x v="1"/>
    <x v="5"/>
    <n v="1"/>
    <n v="32000"/>
    <n v="0"/>
    <n v="32000"/>
    <x v="4"/>
    <s v="Pending"/>
    <x v="2"/>
    <m/>
    <x v="2"/>
  </r>
  <r>
    <s v="ORD-1044"/>
    <x v="43"/>
    <s v="Oscar"/>
    <s v="De Leon"/>
    <m/>
    <x v="0"/>
    <x v="2"/>
    <s v="REP-03"/>
    <x v="3"/>
    <x v="18"/>
    <n v="4"/>
    <n v="1500"/>
    <n v="0.1"/>
    <n v="5400"/>
    <x v="1"/>
    <s v="Delivered"/>
    <x v="36"/>
    <m/>
    <x v="3"/>
  </r>
  <r>
    <s v="ORD-1045"/>
    <x v="44"/>
    <s v="Pilar"/>
    <s v="Adriano"/>
    <s v="pilar.a@gmail.com"/>
    <x v="3"/>
    <x v="0"/>
    <s v="REP-01"/>
    <x v="0"/>
    <x v="12"/>
    <n v="6"/>
    <n v="2500"/>
    <n v="0"/>
    <n v="15000"/>
    <x v="0"/>
    <s v="Delivered"/>
    <x v="37"/>
    <s v="Bulk"/>
    <x v="3"/>
  </r>
  <r>
    <s v="ORD-1046"/>
    <x v="45"/>
    <s v="Victor"/>
    <s v="Santos"/>
    <s v="vsantos@email.com"/>
    <x v="0"/>
    <x v="1"/>
    <s v="REP-02"/>
    <x v="2"/>
    <x v="11"/>
    <n v="1"/>
    <n v="15000"/>
    <n v="0.1"/>
    <n v="13500"/>
    <x v="3"/>
    <s v="Delivered"/>
    <x v="38"/>
    <m/>
    <x v="1"/>
  </r>
  <r>
    <s v="ORD-1047"/>
    <x v="46"/>
    <s v="Agnes"/>
    <s v="Reyes"/>
    <s v="agnes.r@yahoo.com"/>
    <x v="1"/>
    <x v="2"/>
    <s v="REP-03"/>
    <x v="1"/>
    <x v="8"/>
    <n v="1"/>
    <n v="28000"/>
    <n v="0.05"/>
    <n v="26600"/>
    <x v="2"/>
    <s v="Delivered"/>
    <x v="39"/>
    <m/>
    <x v="3"/>
  </r>
  <r>
    <s v="ORD-1048"/>
    <x v="47"/>
    <s v="Dante"/>
    <s v="Bautista"/>
    <s v="dante_b@gmail.com"/>
    <x v="2"/>
    <x v="0"/>
    <s v="REP-01"/>
    <x v="0"/>
    <x v="0"/>
    <n v="2"/>
    <n v="45000"/>
    <n v="0.1"/>
    <n v="81000"/>
    <x v="0"/>
    <s v="Delivered"/>
    <x v="40"/>
    <m/>
    <x v="1"/>
  </r>
  <r>
    <s v="ORD-1049"/>
    <x v="48"/>
    <s v="Luisa"/>
    <s v="Evangelista"/>
    <s v="luisa.e@outlook.com"/>
    <x v="0"/>
    <x v="1"/>
    <s v="REP-02"/>
    <x v="3"/>
    <x v="6"/>
    <n v="15"/>
    <n v="500"/>
    <n v="0.25"/>
    <n v="5625"/>
    <x v="1"/>
    <s v="Delivered"/>
    <x v="41"/>
    <s v="School Bulk Order"/>
    <x v="3"/>
  </r>
  <r>
    <s v="ORD-1050"/>
    <x v="49"/>
    <s v="Terry"/>
    <s v="Yap"/>
    <s v="terry.yap@gmail.com"/>
    <x v="3"/>
    <x v="2"/>
    <s v="REP-03"/>
    <x v="2"/>
    <x v="17"/>
    <n v="1"/>
    <n v="18000"/>
    <n v="0"/>
    <n v="18000"/>
    <x v="4"/>
    <s v="Pending"/>
    <x v="2"/>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E91BD6-3256-3445-BEED-4AA63BC59AA9}" name="PivotTable7" cacheId="29" applyNumberFormats="0" applyBorderFormats="0" applyFontFormats="0" applyPatternFormats="0" applyAlignmentFormats="0" applyWidthHeightFormats="1" dataCaption="Values" updatedVersion="8" minRefreshableVersion="3" rowGrandTotals="0" itemPrintTitles="1" createdVersion="8" indent="0" showHeaders="0" outline="1" outlineData="1" multipleFieldFilters="0">
  <location ref="K12:M16" firstHeaderRow="0" firstDataRow="1" firstDataCol="1"/>
  <pivotFields count="24">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items count="5">
        <item x="3"/>
        <item x="2"/>
        <item x="0"/>
        <item x="1"/>
        <item t="default"/>
      </items>
    </pivotField>
    <pivotField showAll="0"/>
    <pivotField showAll="0"/>
    <pivotField axis="axisRow" showAll="0" sortType="descending">
      <items count="5">
        <item x="1"/>
        <item x="3"/>
        <item x="0"/>
        <item x="2"/>
        <item t="default"/>
      </items>
      <autoSortScope>
        <pivotArea dataOnly="0" outline="0" fieldPosition="0">
          <references count="1">
            <reference field="4294967294" count="1" selected="0">
              <x v="1"/>
            </reference>
          </references>
        </pivotArea>
      </autoSortScope>
    </pivotField>
    <pivotField showAll="0">
      <items count="22">
        <item x="5"/>
        <item x="17"/>
        <item x="15"/>
        <item x="11"/>
        <item x="14"/>
        <item x="2"/>
        <item x="12"/>
        <item x="20"/>
        <item x="18"/>
        <item x="0"/>
        <item x="16"/>
        <item x="3"/>
        <item x="10"/>
        <item x="8"/>
        <item x="9"/>
        <item x="1"/>
        <item x="7"/>
        <item x="19"/>
        <item x="4"/>
        <item x="6"/>
        <item x="13"/>
        <item t="default"/>
      </items>
    </pivotField>
    <pivotField showAll="0"/>
    <pivotField showAll="0"/>
    <pivotField dataField="1" showAll="0"/>
    <pivotField dataField="1" showAll="0"/>
    <pivotField showAll="0"/>
    <pivotField showAll="0"/>
    <pivotField showAll="0">
      <items count="43">
        <item x="0"/>
        <item x="1"/>
        <item x="3"/>
        <item x="4"/>
        <item x="5"/>
        <item x="6"/>
        <item x="7"/>
        <item x="8"/>
        <item x="9"/>
        <item x="10"/>
        <item x="11"/>
        <item x="12"/>
        <item x="13"/>
        <item x="14"/>
        <item x="15"/>
        <item x="16"/>
        <item x="17"/>
        <item x="18"/>
        <item x="19"/>
        <item x="20"/>
        <item x="21"/>
        <item x="22"/>
        <item x="23"/>
        <item x="24"/>
        <item x="25"/>
        <item x="26"/>
        <item x="27"/>
        <item x="28"/>
        <item x="29"/>
        <item x="31"/>
        <item x="30"/>
        <item x="32"/>
        <item x="33"/>
        <item x="34"/>
        <item x="35"/>
        <item x="36"/>
        <item x="37"/>
        <item x="38"/>
        <item x="39"/>
        <item x="40"/>
        <item x="41"/>
        <item x="2"/>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8"/>
  </rowFields>
  <rowItems count="4">
    <i>
      <x v="2"/>
    </i>
    <i>
      <x/>
    </i>
    <i>
      <x v="3"/>
    </i>
    <i>
      <x v="1"/>
    </i>
  </rowItems>
  <colFields count="1">
    <field x="-2"/>
  </colFields>
  <colItems count="2">
    <i>
      <x/>
    </i>
    <i i="1">
      <x v="1"/>
    </i>
  </colItems>
  <dataFields count="2">
    <dataField name="Average of Discount%" fld="12" subtotal="average" baseField="0" baseItem="0" numFmtId="10"/>
    <dataField name="Profit" fld="13" baseField="0" baseItem="0" numFmtId="169"/>
  </dataFields>
  <formats count="3">
    <format dxfId="9">
      <pivotArea dataOnly="0" labelOnly="1" outline="0" fieldPosition="0">
        <references count="1">
          <reference field="4294967294" count="2">
            <x v="0"/>
            <x v="1"/>
          </reference>
        </references>
      </pivotArea>
    </format>
    <format dxfId="10">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0"/>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55BFFC-15D7-D141-AAC8-22A1318D6416}" name="PivotTable5" cacheId="29" applyNumberFormats="0" applyBorderFormats="0" applyFontFormats="0" applyPatternFormats="0" applyAlignmentFormats="0" applyWidthHeightFormats="1" dataCaption="Values" updatedVersion="8" minRefreshableVersion="3" preserveFormatting="0" rowGrandTotals="0" itemPrintTitles="1" createdVersion="8" indent="0" showHeaders="0" outline="1" outlineData="1" multipleFieldFilters="0">
  <location ref="K21:L24" firstHeaderRow="1" firstDataRow="1" firstDataCol="1"/>
  <pivotFields count="24">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items count="5">
        <item x="3"/>
        <item x="2"/>
        <item x="0"/>
        <item x="1"/>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items count="43">
        <item x="0"/>
        <item x="1"/>
        <item x="3"/>
        <item x="4"/>
        <item x="5"/>
        <item x="6"/>
        <item x="7"/>
        <item x="8"/>
        <item x="9"/>
        <item x="10"/>
        <item x="11"/>
        <item x="12"/>
        <item x="13"/>
        <item x="14"/>
        <item x="15"/>
        <item x="16"/>
        <item x="17"/>
        <item x="18"/>
        <item x="19"/>
        <item x="20"/>
        <item x="21"/>
        <item x="22"/>
        <item x="23"/>
        <item x="24"/>
        <item x="25"/>
        <item x="26"/>
        <item x="27"/>
        <item x="28"/>
        <item x="29"/>
        <item x="31"/>
        <item x="30"/>
        <item x="32"/>
        <item x="33"/>
        <item x="34"/>
        <item x="35"/>
        <item x="36"/>
        <item x="37"/>
        <item x="38"/>
        <item x="39"/>
        <item x="40"/>
        <item x="41"/>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6"/>
  </rowFields>
  <rowItems count="3">
    <i>
      <x v="2"/>
    </i>
    <i>
      <x v="1"/>
    </i>
    <i>
      <x/>
    </i>
  </rowItems>
  <colItems count="1">
    <i/>
  </colItems>
  <dataFields count="1">
    <dataField name=" Total Sale" fld="13" baseField="0" baseItem="0" numFmtId="169"/>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32961D-66F1-994A-87AD-D19D14915398}" name="PivotTable3" cacheId="29" applyNumberFormats="0" applyBorderFormats="0" applyFontFormats="0" applyPatternFormats="0" applyAlignmentFormats="0" applyWidthHeightFormats="1" dataCaption="Values" updatedVersion="8" minRefreshableVersion="3" preserveFormatting="0" rowGrandTotals="0" itemPrintTitles="1" createdVersion="8" indent="0" showHeaders="0" outline="1" outlineData="1" multipleFieldFilters="0">
  <location ref="H4:I25" firstHeaderRow="1" firstDataRow="1" firstDataCol="1"/>
  <pivotFields count="24">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items count="5">
        <item x="3"/>
        <item x="2"/>
        <item x="0"/>
        <item x="1"/>
        <item t="default"/>
      </items>
    </pivotField>
    <pivotField showAll="0"/>
    <pivotField showAll="0"/>
    <pivotField showAll="0"/>
    <pivotField axis="axisRow" showAll="0" sortType="descending">
      <items count="22">
        <item x="5"/>
        <item x="17"/>
        <item x="15"/>
        <item x="11"/>
        <item x="14"/>
        <item x="2"/>
        <item x="12"/>
        <item x="20"/>
        <item x="18"/>
        <item x="0"/>
        <item x="16"/>
        <item x="3"/>
        <item x="10"/>
        <item x="8"/>
        <item x="9"/>
        <item x="1"/>
        <item x="7"/>
        <item x="19"/>
        <item x="4"/>
        <item x="6"/>
        <item x="1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items count="43">
        <item x="0"/>
        <item x="1"/>
        <item x="3"/>
        <item x="4"/>
        <item x="5"/>
        <item x="6"/>
        <item x="7"/>
        <item x="8"/>
        <item x="9"/>
        <item x="10"/>
        <item x="11"/>
        <item x="12"/>
        <item x="13"/>
        <item x="14"/>
        <item x="15"/>
        <item x="16"/>
        <item x="17"/>
        <item x="18"/>
        <item x="19"/>
        <item x="20"/>
        <item x="21"/>
        <item x="22"/>
        <item x="23"/>
        <item x="24"/>
        <item x="25"/>
        <item x="26"/>
        <item x="27"/>
        <item x="28"/>
        <item x="29"/>
        <item x="31"/>
        <item x="30"/>
        <item x="32"/>
        <item x="33"/>
        <item x="34"/>
        <item x="35"/>
        <item x="36"/>
        <item x="37"/>
        <item x="38"/>
        <item x="39"/>
        <item x="40"/>
        <item x="41"/>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9"/>
  </rowFields>
  <rowItems count="21">
    <i>
      <x v="19"/>
    </i>
    <i>
      <x v="6"/>
    </i>
    <i>
      <x v="12"/>
    </i>
    <i>
      <x v="8"/>
    </i>
    <i>
      <x v="5"/>
    </i>
    <i>
      <x v="18"/>
    </i>
    <i>
      <x v="9"/>
    </i>
    <i>
      <x v="11"/>
    </i>
    <i>
      <x v="4"/>
    </i>
    <i>
      <x v="2"/>
    </i>
    <i>
      <x/>
    </i>
    <i>
      <x v="15"/>
    </i>
    <i>
      <x v="14"/>
    </i>
    <i>
      <x v="13"/>
    </i>
    <i>
      <x v="10"/>
    </i>
    <i>
      <x v="7"/>
    </i>
    <i>
      <x v="20"/>
    </i>
    <i>
      <x v="3"/>
    </i>
    <i>
      <x v="16"/>
    </i>
    <i>
      <x v="1"/>
    </i>
    <i>
      <x v="17"/>
    </i>
  </rowItems>
  <colItems count="1">
    <i/>
  </colItems>
  <dataFields count="1">
    <dataField name=" Quantity" fld="10"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A5BB54-D216-F64D-A1DA-B5547D0B60C0}" name="PivotTable2" cacheId="29" applyNumberFormats="0" applyBorderFormats="0" applyFontFormats="0" applyPatternFormats="0" applyAlignmentFormats="0" applyWidthHeightFormats="1" dataCaption="Values" updatedVersion="8" minRefreshableVersion="3" rowGrandTotals="0" itemPrintTitles="1" createdVersion="8" indent="0" showHeaders="0" outline="1" outlineData="1" multipleFieldFilters="0">
  <location ref="K4:M8" firstHeaderRow="0" firstDataRow="1" firstDataCol="1"/>
  <pivotFields count="24">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items count="5">
        <item x="3"/>
        <item x="2"/>
        <item x="0"/>
        <item x="1"/>
        <item t="default"/>
      </items>
    </pivotField>
    <pivotField showAll="0"/>
    <pivotField showAll="0"/>
    <pivotField axis="axisRow" showAll="0" sortType="descending">
      <items count="5">
        <item x="1"/>
        <item x="3"/>
        <item x="0"/>
        <item x="2"/>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showAll="0"/>
    <pivotField dataField="1" showAll="0"/>
    <pivotField showAll="0"/>
    <pivotField showAll="0"/>
    <pivotField showAll="0">
      <items count="43">
        <item x="0"/>
        <item x="1"/>
        <item x="3"/>
        <item x="4"/>
        <item x="5"/>
        <item x="6"/>
        <item x="7"/>
        <item x="8"/>
        <item x="9"/>
        <item x="10"/>
        <item x="11"/>
        <item x="12"/>
        <item x="13"/>
        <item x="14"/>
        <item x="15"/>
        <item x="16"/>
        <item x="17"/>
        <item x="18"/>
        <item x="19"/>
        <item x="20"/>
        <item x="21"/>
        <item x="22"/>
        <item x="23"/>
        <item x="24"/>
        <item x="25"/>
        <item x="26"/>
        <item x="27"/>
        <item x="28"/>
        <item x="29"/>
        <item x="31"/>
        <item x="30"/>
        <item x="32"/>
        <item x="33"/>
        <item x="34"/>
        <item x="35"/>
        <item x="36"/>
        <item x="37"/>
        <item x="38"/>
        <item x="39"/>
        <item x="40"/>
        <item x="41"/>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8"/>
  </rowFields>
  <rowItems count="4">
    <i>
      <x v="2"/>
    </i>
    <i>
      <x/>
    </i>
    <i>
      <x v="3"/>
    </i>
    <i>
      <x v="1"/>
    </i>
  </rowItems>
  <colFields count="1">
    <field x="-2"/>
  </colFields>
  <colItems count="2">
    <i>
      <x/>
    </i>
    <i i="1">
      <x v="1"/>
    </i>
  </colItems>
  <dataFields count="2">
    <dataField name=" Quantity" fld="10" baseField="0" baseItem="0"/>
    <dataField name=" Total Sale" fld="13" baseField="0" baseItem="0" numFmtId="169"/>
  </dataFields>
  <formats count="5">
    <format dxfId="29">
      <pivotArea type="all" dataOnly="0" outline="0" fieldPosition="0"/>
    </format>
    <format dxfId="30">
      <pivotArea outline="0" collapsedLevelsAreSubtotals="1" fieldPosition="0"/>
    </format>
    <format dxfId="31">
      <pivotArea dataOnly="0" labelOnly="1" fieldPosition="0">
        <references count="1">
          <reference field="8" count="0"/>
        </references>
      </pivotArea>
    </format>
    <format dxfId="32">
      <pivotArea dataOnly="0" labelOnly="1" outline="0" fieldPosition="0">
        <references count="1">
          <reference field="4294967294" count="2">
            <x v="0"/>
            <x v="1"/>
          </reference>
        </references>
      </pivotArea>
    </format>
    <format dxfId="12">
      <pivotArea outline="0" collapsedLevelsAreSubtotals="1" fieldPosition="0">
        <references count="1">
          <reference field="4294967294" count="1" selected="0">
            <x v="1"/>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E02C3C-9826-4042-A726-910E1BDC8A43}" name="PivotTable1" cacheId="29" applyNumberFormats="0" applyBorderFormats="0" applyFontFormats="0" applyPatternFormats="0" applyAlignmentFormats="0" applyWidthHeightFormats="1" dataCaption="Values" updatedVersion="8" minRefreshableVersion="3" showDrill="0" rowGrandTotals="0" itemPrintTitles="1" createdVersion="8" indent="0" showHeaders="0" outline="1" outlineData="1" multipleFieldFilters="0" chartFormat="2">
  <location ref="E4:F25" firstHeaderRow="1" firstDataRow="1" firstDataCol="1"/>
  <pivotFields count="24">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items count="5">
        <item x="3"/>
        <item x="2"/>
        <item x="0"/>
        <item x="1"/>
        <item t="default"/>
      </items>
    </pivotField>
    <pivotField showAll="0"/>
    <pivotField showAll="0"/>
    <pivotField showAll="0"/>
    <pivotField axis="axisRow" showAll="0" sortType="descending">
      <items count="22">
        <item x="5"/>
        <item x="17"/>
        <item x="15"/>
        <item x="11"/>
        <item x="14"/>
        <item x="2"/>
        <item x="12"/>
        <item x="20"/>
        <item x="18"/>
        <item x="0"/>
        <item x="16"/>
        <item x="3"/>
        <item x="10"/>
        <item x="8"/>
        <item x="9"/>
        <item x="1"/>
        <item x="7"/>
        <item x="19"/>
        <item x="4"/>
        <item x="6"/>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items count="43">
        <item x="0"/>
        <item x="1"/>
        <item x="3"/>
        <item x="4"/>
        <item x="5"/>
        <item x="6"/>
        <item x="7"/>
        <item x="8"/>
        <item x="9"/>
        <item x="10"/>
        <item x="11"/>
        <item x="12"/>
        <item x="13"/>
        <item x="14"/>
        <item x="15"/>
        <item x="16"/>
        <item x="17"/>
        <item x="18"/>
        <item x="19"/>
        <item x="20"/>
        <item x="21"/>
        <item x="22"/>
        <item x="23"/>
        <item x="24"/>
        <item x="25"/>
        <item x="26"/>
        <item x="27"/>
        <item x="28"/>
        <item x="29"/>
        <item x="31"/>
        <item x="30"/>
        <item x="32"/>
        <item x="33"/>
        <item x="34"/>
        <item x="35"/>
        <item x="36"/>
        <item x="37"/>
        <item x="38"/>
        <item x="39"/>
        <item x="40"/>
        <item x="41"/>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9"/>
  </rowFields>
  <rowItems count="21">
    <i>
      <x v="9"/>
    </i>
    <i>
      <x v="14"/>
    </i>
    <i>
      <x/>
    </i>
    <i>
      <x v="13"/>
    </i>
    <i>
      <x v="18"/>
    </i>
    <i>
      <x v="15"/>
    </i>
    <i>
      <x v="16"/>
    </i>
    <i>
      <x v="20"/>
    </i>
    <i>
      <x v="11"/>
    </i>
    <i>
      <x v="6"/>
    </i>
    <i>
      <x v="1"/>
    </i>
    <i>
      <x v="2"/>
    </i>
    <i>
      <x v="3"/>
    </i>
    <i>
      <x v="10"/>
    </i>
    <i>
      <x v="5"/>
    </i>
    <i>
      <x v="8"/>
    </i>
    <i>
      <x v="19"/>
    </i>
    <i>
      <x v="17"/>
    </i>
    <i>
      <x v="12"/>
    </i>
    <i>
      <x v="4"/>
    </i>
    <i>
      <x v="7"/>
    </i>
  </rowItems>
  <colItems count="1">
    <i/>
  </colItems>
  <dataFields count="1">
    <dataField name=" Total Sale" fld="13" baseField="0" baseItem="0" numFmtId="169"/>
  </dataFields>
  <formats count="2">
    <format dxfId="27">
      <pivotArea outline="0" collapsedLevelsAreSubtotals="1" fieldPosition="0"/>
    </format>
    <format dxfId="11">
      <pivotArea dataOnly="0" labelOnly="1" outline="0" axis="axisValues"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3A3978-5AF7-764C-8F20-6A54B5AFA6B1}" name="PivotTable8"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9:B15" firstHeaderRow="1" firstDataRow="1" firstDataCol="1"/>
  <pivotFields count="24">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axis="axisRow" showAll="0" sortType="ascending">
      <items count="6">
        <item x="2"/>
        <item x="1"/>
        <item x="3"/>
        <item x="0"/>
        <item x="4"/>
        <item t="default"/>
      </items>
      <autoSortScope>
        <pivotArea dataOnly="0" outline="0" fieldPosition="0">
          <references count="1">
            <reference field="4294967294" count="1" selected="0">
              <x v="0"/>
            </reference>
          </references>
        </pivotArea>
      </autoSortScope>
    </pivotField>
    <pivotField showAll="0"/>
    <pivotField showAll="0">
      <items count="43">
        <item x="0"/>
        <item x="1"/>
        <item x="3"/>
        <item x="4"/>
        <item x="5"/>
        <item x="6"/>
        <item x="7"/>
        <item x="8"/>
        <item x="9"/>
        <item x="10"/>
        <item x="11"/>
        <item x="12"/>
        <item x="13"/>
        <item x="14"/>
        <item x="15"/>
        <item x="16"/>
        <item x="17"/>
        <item x="18"/>
        <item x="19"/>
        <item x="20"/>
        <item x="21"/>
        <item x="22"/>
        <item x="23"/>
        <item x="24"/>
        <item x="25"/>
        <item x="26"/>
        <item x="27"/>
        <item x="28"/>
        <item x="29"/>
        <item x="31"/>
        <item x="30"/>
        <item x="32"/>
        <item x="33"/>
        <item x="34"/>
        <item x="35"/>
        <item x="36"/>
        <item x="37"/>
        <item x="38"/>
        <item x="39"/>
        <item x="40"/>
        <item x="41"/>
        <item x="2"/>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4"/>
  </rowFields>
  <rowItems count="6">
    <i>
      <x v="2"/>
    </i>
    <i>
      <x/>
    </i>
    <i>
      <x v="4"/>
    </i>
    <i>
      <x v="3"/>
    </i>
    <i>
      <x v="1"/>
    </i>
    <i t="grand">
      <x/>
    </i>
  </rowItems>
  <colItems count="1">
    <i/>
  </colItems>
  <dataFields count="1">
    <dataField name="Sum of Quantity"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4A2BF3-EC20-B04E-8900-EB3C68651AF5}" name="PivotTable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24">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43">
        <item x="0"/>
        <item x="1"/>
        <item x="3"/>
        <item x="4"/>
        <item x="5"/>
        <item x="6"/>
        <item x="7"/>
        <item x="8"/>
        <item x="9"/>
        <item x="10"/>
        <item x="11"/>
        <item x="12"/>
        <item x="13"/>
        <item x="14"/>
        <item x="15"/>
        <item x="16"/>
        <item x="17"/>
        <item x="18"/>
        <item x="19"/>
        <item x="20"/>
        <item x="21"/>
        <item x="22"/>
        <item x="23"/>
        <item x="24"/>
        <item x="25"/>
        <item x="26"/>
        <item x="27"/>
        <item x="28"/>
        <item x="29"/>
        <item x="31"/>
        <item x="30"/>
        <item x="32"/>
        <item x="33"/>
        <item x="34"/>
        <item x="35"/>
        <item x="36"/>
        <item x="37"/>
        <item x="38"/>
        <item x="39"/>
        <item x="40"/>
        <item x="41"/>
        <item x="2"/>
        <item t="default"/>
      </items>
    </pivotField>
    <pivotField showAll="0"/>
    <pivotField dataField="1" showAll="0">
      <items count="7">
        <item x="5"/>
        <item x="4"/>
        <item x="0"/>
        <item x="3"/>
        <item x="1"/>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Items count="1">
    <i/>
  </rowItems>
  <colItems count="1">
    <i/>
  </colItems>
  <dataFields count="1">
    <dataField name="Average of Days to Deliver" fld="18" subtotal="average" baseField="0" baseItem="0" numFmtId="1"/>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29D3F3-2F79-0048-8F47-BB77155FBBA6}"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A2" firstHeaderRow="1" firstDataRow="1" firstDataCol="0"/>
  <pivotFields count="24">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items count="43">
        <item x="0"/>
        <item x="1"/>
        <item x="3"/>
        <item x="4"/>
        <item x="5"/>
        <item x="6"/>
        <item x="7"/>
        <item x="8"/>
        <item x="9"/>
        <item x="10"/>
        <item x="11"/>
        <item x="12"/>
        <item x="13"/>
        <item x="14"/>
        <item x="15"/>
        <item x="16"/>
        <item x="17"/>
        <item x="18"/>
        <item x="19"/>
        <item x="20"/>
        <item x="21"/>
        <item x="22"/>
        <item x="23"/>
        <item x="24"/>
        <item x="25"/>
        <item x="26"/>
        <item x="27"/>
        <item x="28"/>
        <item x="29"/>
        <item x="31"/>
        <item x="30"/>
        <item x="32"/>
        <item x="33"/>
        <item x="34"/>
        <item x="35"/>
        <item x="36"/>
        <item x="37"/>
        <item x="38"/>
        <item x="39"/>
        <item x="40"/>
        <item x="41"/>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Total Sales Amount" fld="13" baseField="0" baseItem="0" numFmtId="44"/>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FA46886-B16F-484F-815F-DF28BCE0351B}" autoFormatId="16" applyNumberFormats="0" applyBorderFormats="0" applyFontFormats="0" applyPatternFormats="0" applyAlignmentFormats="0" applyWidthHeightFormats="0">
  <queryTableRefresh nextId="20" unboundColumnsRight="1">
    <queryTableFields count="19">
      <queryTableField id="1" name="Order ID" tableColumnId="1"/>
      <queryTableField id="2" name="order date" tableColumnId="2"/>
      <queryTableField id="3" name="first_name" tableColumnId="3"/>
      <queryTableField id="4" name="last_name" tableColumnId="4"/>
      <queryTableField id="5" name="customer_email" tableColumnId="5"/>
      <queryTableField id="6" name="Region" tableColumnId="6"/>
      <queryTableField id="7" name="Sales Rep" tableColumnId="7"/>
      <queryTableField id="8" name="SalesRep ID" tableColumnId="8"/>
      <queryTableField id="9" name="Product Category" tableColumnId="9"/>
      <queryTableField id="10" name="product name" tableColumnId="10"/>
      <queryTableField id="11" name="Quantity" tableColumnId="11"/>
      <queryTableField id="12" name="Unit Price (PHP)" tableColumnId="12"/>
      <queryTableField id="13" name="Discount%" tableColumnId="13"/>
      <queryTableField id="14" name="Total Sale" tableColumnId="14"/>
      <queryTableField id="15" name="Payment Method" tableColumnId="15"/>
      <queryTableField id="16" name="Status" tableColumnId="16"/>
      <queryTableField id="17" name="Delivery Date" tableColumnId="17"/>
      <queryTableField id="18" name="Notes"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75D0CCB-C360-E440-B2F1-727E7FF7CF67}" sourceName="Region">
  <pivotTables>
    <pivotTable tabId="4" name="PivotTable1"/>
    <pivotTable tabId="4" name="PivotTable2"/>
    <pivotTable tabId="4" name="PivotTable3"/>
    <pivotTable tabId="5" name="PivotTable4"/>
    <pivotTable tabId="4" name="PivotTable5"/>
    <pivotTable tabId="4" name="PivotTable7"/>
    <pivotTable tabId="5" name="PivotTable6"/>
    <pivotTable tabId="5" name="PivotTable8"/>
  </pivotTables>
  <data>
    <tabular pivotCacheId="740591356">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4CF8B4C-2A06-EB4C-A93C-335D1AECEDC8}" cache="Slicer_Region" caption="Region" style="SlicerStyleOther1"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2E1959-38BA-0E41-BE4D-80DBC10419E2}" name="Query1" displayName="Query1" ref="A2:S52" tableType="queryTable" totalsRowShown="0">
  <autoFilter ref="A2:S52" xr:uid="{812E1959-38BA-0E41-BE4D-80DBC10419E2}"/>
  <tableColumns count="19">
    <tableColumn id="1" xr3:uid="{2420C4D5-C160-A24E-96A4-DB9F7DDD34A9}" uniqueName="1" name="Order ID" queryTableFieldId="1"/>
    <tableColumn id="2" xr3:uid="{E23255AB-812E-6546-A237-3B2DBFAEABE6}" uniqueName="2" name="order date" queryTableFieldId="2" dataDxfId="26"/>
    <tableColumn id="3" xr3:uid="{8BA5EBC1-7488-0D4E-971C-D052F33BC9E9}" uniqueName="3" name="first_name" queryTableFieldId="3" dataDxfId="25"/>
    <tableColumn id="4" xr3:uid="{E9CF9403-18B5-774B-9058-6EC9F6E29D97}" uniqueName="4" name="last_name" queryTableFieldId="4" dataDxfId="24"/>
    <tableColumn id="5" xr3:uid="{D8564A9E-5491-CA41-8E30-89770C13B38F}" uniqueName="5" name="customer_email" queryTableFieldId="5" dataDxfId="23"/>
    <tableColumn id="6" xr3:uid="{9C78E43D-7154-A748-BE07-E86098DB3F16}" uniqueName="6" name="Region" queryTableFieldId="6" dataDxfId="22"/>
    <tableColumn id="7" xr3:uid="{A5B98276-DB9A-C044-955A-2855D2F642D3}" uniqueName="7" name="Sales Rep" queryTableFieldId="7" dataDxfId="21"/>
    <tableColumn id="8" xr3:uid="{4D566F19-2BC8-924B-9A15-F958DEB50095}" uniqueName="8" name="SalesRep ID" queryTableFieldId="8" dataDxfId="20"/>
    <tableColumn id="9" xr3:uid="{8BEC100D-DA23-094F-AA9E-31E8EFE1706D}" uniqueName="9" name="Product Category" queryTableFieldId="9" dataDxfId="19"/>
    <tableColumn id="10" xr3:uid="{0500F9A7-1C0B-C049-86BE-364056A1E0F4}" uniqueName="10" name="product name" queryTableFieldId="10" dataDxfId="18"/>
    <tableColumn id="11" xr3:uid="{AF88A4AA-886B-244B-915B-3292F1296FB7}" uniqueName="11" name="Quantity" queryTableFieldId="11"/>
    <tableColumn id="12" xr3:uid="{3941816C-5E6E-BB44-A2CE-D59909B87F33}" uniqueName="12" name="Unit Price (PHP)" queryTableFieldId="12"/>
    <tableColumn id="13" xr3:uid="{725FD098-CB31-BB41-8A28-0F7757061375}" uniqueName="13" name="Discount%" queryTableFieldId="13"/>
    <tableColumn id="14" xr3:uid="{C6DC9A56-7DA7-9040-98C1-A168AFFCF4B4}" uniqueName="14" name="Total Sale" queryTableFieldId="14"/>
    <tableColumn id="15" xr3:uid="{BA465297-BDCC-5944-9FC9-BE061381D814}" uniqueName="15" name="Payment Method" queryTableFieldId="15"/>
    <tableColumn id="16" xr3:uid="{3C7E786F-374A-FE4D-B9BD-CCED8B842854}" uniqueName="16" name="Status" queryTableFieldId="16" dataDxfId="17"/>
    <tableColumn id="17" xr3:uid="{789DA43D-1D69-D447-BDCE-D1E38967CFBD}" uniqueName="17" name="Delivery Date" queryTableFieldId="17" dataDxfId="16"/>
    <tableColumn id="18" xr3:uid="{9EC5BFE2-B850-7544-9058-A66CBC4B402B}" uniqueName="18" name="Notes" queryTableFieldId="18" dataDxfId="15"/>
    <tableColumn id="19" xr3:uid="{054C74B9-E21A-8B40-9BBB-6DEB16DC6DDF}" uniqueName="19" name="Days to Deliver" queryTableFieldId="19" dataDxfId="14">
      <calculatedColumnFormula>IF(Query1[[#This Row],[Delivery Date]]="", "",Query1[[#This Row],[Delivery Date]]-Query1[[#This Row],[order date]])</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5E3060-33BE-4546-A870-8236C6B4C882}" name="Sale" displayName="Sale" ref="A2:R52" totalsRowShown="0" headerRowDxfId="33">
  <autoFilter ref="A2:R52" xr:uid="{5C5E3060-33BE-4546-A870-8236C6B4C882}"/>
  <tableColumns count="18">
    <tableColumn id="1" xr3:uid="{C501FD45-9782-134E-B5A8-3DD1ED3219EA}" name="Order ID"/>
    <tableColumn id="2" xr3:uid="{8A68CD2A-0017-E841-9536-1ABEE581A5A6}" name="order date"/>
    <tableColumn id="3" xr3:uid="{B86E740F-DA9E-E443-853C-0F1AA39F4638}" name="CUSTOMER NAME"/>
    <tableColumn id="4" xr3:uid="{A1E872A0-7E11-E345-8189-C52A8EED3BF8}" name="Customer_Email"/>
    <tableColumn id="5" xr3:uid="{FD777915-D254-E149-A603-2378C6177D25}" name="Region"/>
    <tableColumn id="6" xr3:uid="{DDDE798E-5AD5-B846-809E-D05AF0476126}" name="region "/>
    <tableColumn id="7" xr3:uid="{2C9CF835-8AF1-4C41-ABD4-1C961B5D16E4}" name="Sales Rep"/>
    <tableColumn id="8" xr3:uid="{5CC898F7-1B47-B349-881C-BF2A38D0B0F6}" name="SalesRep ID"/>
    <tableColumn id="9" xr3:uid="{83649B31-91B0-6D4A-9FE6-9C5202563F69}" name="Product Category"/>
    <tableColumn id="10" xr3:uid="{6009553D-96C0-E24B-A58F-805C80C009FC}" name="product name"/>
    <tableColumn id="11" xr3:uid="{C986145E-0F9A-074A-8B02-BD9BD0F0F14A}" name="Quantity"/>
    <tableColumn id="12" xr3:uid="{DD3D1A64-E4BF-754A-A990-7EAFD4365558}" name="Unit Price (PHP)"/>
    <tableColumn id="13" xr3:uid="{B33F71DF-CAFA-644E-9880-201148CC9513}" name="Discount%"/>
    <tableColumn id="14" xr3:uid="{B4708081-DB48-7B45-8A8F-31E9B21158EA}" name="Total Sale"/>
    <tableColumn id="15" xr3:uid="{D155A47F-74D0-1A45-875E-99E03F2C63A8}" name="Payment Method"/>
    <tableColumn id="16" xr3:uid="{4EBB888E-A4DF-BB40-B11B-E9DB425CD965}" name="Status"/>
    <tableColumn id="17" xr3:uid="{1C47D058-F3B4-264D-8BEC-05899ED7B90E}" name="Delivery Date"/>
    <tableColumn id="18" xr3:uid="{CF7CD38A-27D9-5D44-8BC2-3C6D1FD8ABE5}" name="Note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FEEF8-0313-6F44-9B76-B1CD3A97637D}">
  <dimension ref="A1:W30"/>
  <sheetViews>
    <sheetView showGridLines="0" zoomScale="99" workbookViewId="0">
      <selection activeCell="O28" sqref="O28"/>
    </sheetView>
  </sheetViews>
  <sheetFormatPr baseColWidth="10" defaultRowHeight="15" x14ac:dyDescent="0.2"/>
  <cols>
    <col min="1" max="1" width="6" customWidth="1"/>
    <col min="2" max="2" width="17.1640625" customWidth="1"/>
    <col min="3" max="3" width="9.6640625" customWidth="1"/>
    <col min="4" max="4" width="2.5" customWidth="1"/>
    <col min="5" max="5" width="14.5" bestFit="1" customWidth="1"/>
    <col min="6" max="6" width="15.1640625" customWidth="1"/>
    <col min="7" max="7" width="5.33203125" customWidth="1"/>
    <col min="8" max="8" width="14.5" bestFit="1" customWidth="1"/>
    <col min="9" max="9" width="12.1640625" bestFit="1" customWidth="1"/>
    <col min="10" max="10" width="6" customWidth="1"/>
    <col min="11" max="11" width="12.1640625" bestFit="1" customWidth="1"/>
    <col min="12" max="12" width="18.1640625" bestFit="1" customWidth="1"/>
    <col min="13" max="13" width="13.1640625" customWidth="1"/>
    <col min="14" max="14" width="2.33203125" customWidth="1"/>
    <col min="15" max="15" width="14.1640625" bestFit="1" customWidth="1"/>
    <col min="16" max="16" width="15" bestFit="1" customWidth="1"/>
    <col min="17" max="17" width="9.6640625" customWidth="1"/>
    <col min="18" max="18" width="4.83203125" customWidth="1"/>
  </cols>
  <sheetData>
    <row r="1" spans="1:23" ht="39" customHeight="1" x14ac:dyDescent="0.2">
      <c r="A1" s="18" t="s">
        <v>461</v>
      </c>
      <c r="B1" s="18"/>
      <c r="C1" s="18"/>
      <c r="D1" s="18"/>
      <c r="E1" s="18"/>
      <c r="F1" s="18"/>
      <c r="G1" s="18"/>
      <c r="H1" s="18"/>
      <c r="I1" s="18"/>
      <c r="J1" s="18"/>
      <c r="K1" s="18"/>
      <c r="L1" s="18"/>
      <c r="M1" s="18"/>
      <c r="N1" s="18"/>
      <c r="O1" s="18"/>
      <c r="P1" s="18"/>
      <c r="Q1" s="18"/>
      <c r="R1" s="18"/>
      <c r="S1" s="18"/>
      <c r="T1" s="18"/>
      <c r="U1" s="18"/>
      <c r="V1" s="18"/>
      <c r="W1" s="18"/>
    </row>
    <row r="3" spans="1:23" ht="19" x14ac:dyDescent="0.25">
      <c r="C3" s="13"/>
      <c r="D3" s="13"/>
      <c r="E3" s="20" t="s">
        <v>432</v>
      </c>
      <c r="F3" s="20"/>
      <c r="G3" s="9"/>
      <c r="H3" s="20" t="s">
        <v>436</v>
      </c>
      <c r="I3" s="20"/>
      <c r="J3" s="9"/>
      <c r="K3" s="21" t="s">
        <v>434</v>
      </c>
      <c r="L3" s="21"/>
      <c r="M3" s="21"/>
      <c r="N3" s="13"/>
      <c r="O3" s="21" t="s">
        <v>442</v>
      </c>
      <c r="P3" s="21"/>
      <c r="Q3" s="21"/>
      <c r="S3" s="17" t="s">
        <v>445</v>
      </c>
    </row>
    <row r="4" spans="1:23" x14ac:dyDescent="0.2">
      <c r="C4" s="13"/>
      <c r="D4" s="13"/>
      <c r="F4" s="8" t="s">
        <v>433</v>
      </c>
      <c r="I4" s="8" t="s">
        <v>435</v>
      </c>
      <c r="K4" s="13"/>
      <c r="L4" s="13" t="s">
        <v>435</v>
      </c>
      <c r="M4" s="13" t="s">
        <v>433</v>
      </c>
      <c r="N4" s="11"/>
    </row>
    <row r="5" spans="1:23" x14ac:dyDescent="0.2">
      <c r="C5" s="13"/>
      <c r="D5" s="13"/>
      <c r="E5" s="6" t="s">
        <v>26</v>
      </c>
      <c r="F5" s="7">
        <v>291600</v>
      </c>
      <c r="H5" s="6" t="s">
        <v>88</v>
      </c>
      <c r="I5" s="4">
        <v>25</v>
      </c>
      <c r="K5" s="10" t="s">
        <v>25</v>
      </c>
      <c r="L5" s="12">
        <v>36</v>
      </c>
      <c r="M5" s="11">
        <v>604600</v>
      </c>
      <c r="N5" s="11"/>
      <c r="S5" s="17" t="s">
        <v>446</v>
      </c>
    </row>
    <row r="6" spans="1:23" x14ac:dyDescent="0.2">
      <c r="C6" s="13"/>
      <c r="D6" s="13"/>
      <c r="E6" s="6" t="s">
        <v>348</v>
      </c>
      <c r="F6" s="7">
        <v>130900</v>
      </c>
      <c r="H6" s="6" t="s">
        <v>134</v>
      </c>
      <c r="I6" s="4">
        <v>14</v>
      </c>
      <c r="K6" s="10" t="s">
        <v>53</v>
      </c>
      <c r="L6" s="12">
        <v>21</v>
      </c>
      <c r="M6" s="11">
        <v>287530</v>
      </c>
      <c r="N6" s="11"/>
    </row>
    <row r="7" spans="1:23" x14ac:dyDescent="0.2">
      <c r="C7" s="13"/>
      <c r="D7" s="13"/>
      <c r="E7" s="6" t="s">
        <v>80</v>
      </c>
      <c r="F7" s="7">
        <v>121280</v>
      </c>
      <c r="H7" s="6" t="s">
        <v>351</v>
      </c>
      <c r="I7" s="4">
        <v>13</v>
      </c>
      <c r="K7" s="10" t="s">
        <v>62</v>
      </c>
      <c r="L7" s="12">
        <v>17</v>
      </c>
      <c r="M7" s="11">
        <v>184930</v>
      </c>
      <c r="N7" s="11"/>
      <c r="P7" s="2"/>
      <c r="S7" t="s">
        <v>447</v>
      </c>
    </row>
    <row r="8" spans="1:23" x14ac:dyDescent="0.2">
      <c r="C8" s="13"/>
      <c r="D8" s="13"/>
      <c r="E8" s="6" t="s">
        <v>110</v>
      </c>
      <c r="F8" s="7">
        <v>78400</v>
      </c>
      <c r="H8" s="6" t="s">
        <v>189</v>
      </c>
      <c r="I8" s="4">
        <v>10</v>
      </c>
      <c r="K8" s="10" t="s">
        <v>87</v>
      </c>
      <c r="L8" s="12">
        <v>55</v>
      </c>
      <c r="M8" s="11">
        <v>41645</v>
      </c>
      <c r="S8" s="17" t="s">
        <v>448</v>
      </c>
    </row>
    <row r="9" spans="1:23" x14ac:dyDescent="0.2">
      <c r="C9" s="13"/>
      <c r="D9" s="13"/>
      <c r="E9" s="6" t="s">
        <v>74</v>
      </c>
      <c r="F9" s="7">
        <v>74400</v>
      </c>
      <c r="H9" s="6" t="s">
        <v>54</v>
      </c>
      <c r="I9" s="4">
        <v>9</v>
      </c>
    </row>
    <row r="10" spans="1:23" x14ac:dyDescent="0.2">
      <c r="C10" s="13"/>
      <c r="D10" s="13"/>
      <c r="E10" s="6" t="s">
        <v>40</v>
      </c>
      <c r="F10" s="7">
        <v>73075</v>
      </c>
      <c r="H10" s="6" t="s">
        <v>74</v>
      </c>
      <c r="I10" s="4">
        <v>7</v>
      </c>
      <c r="S10" s="17" t="s">
        <v>449</v>
      </c>
    </row>
    <row r="11" spans="1:23" x14ac:dyDescent="0.2">
      <c r="C11" s="13"/>
      <c r="D11" s="13"/>
      <c r="E11" s="6" t="s">
        <v>105</v>
      </c>
      <c r="F11" s="7">
        <v>43750</v>
      </c>
      <c r="H11" s="6" t="s">
        <v>26</v>
      </c>
      <c r="I11" s="4">
        <v>7</v>
      </c>
      <c r="K11" s="21" t="s">
        <v>443</v>
      </c>
      <c r="L11" s="21"/>
      <c r="M11" s="21"/>
      <c r="N11" s="8"/>
    </row>
    <row r="12" spans="1:23" x14ac:dyDescent="0.2">
      <c r="E12" s="6" t="s">
        <v>359</v>
      </c>
      <c r="F12" s="7">
        <v>40700</v>
      </c>
      <c r="H12" s="6" t="s">
        <v>63</v>
      </c>
      <c r="I12" s="4">
        <v>5</v>
      </c>
      <c r="L12" s="8" t="s">
        <v>444</v>
      </c>
      <c r="M12" s="8" t="s">
        <v>441</v>
      </c>
      <c r="N12" s="7"/>
      <c r="S12" s="17" t="s">
        <v>450</v>
      </c>
    </row>
    <row r="13" spans="1:23" x14ac:dyDescent="0.2">
      <c r="E13" s="6" t="s">
        <v>63</v>
      </c>
      <c r="F13" s="7">
        <v>39605</v>
      </c>
      <c r="H13" s="6" t="s">
        <v>151</v>
      </c>
      <c r="I13" s="4">
        <v>5</v>
      </c>
      <c r="K13" s="6" t="s">
        <v>25</v>
      </c>
      <c r="L13" s="16">
        <v>5.7647058823529412E-2</v>
      </c>
      <c r="M13" s="7">
        <v>604600</v>
      </c>
      <c r="N13" s="7"/>
      <c r="S13" s="17" t="s">
        <v>451</v>
      </c>
    </row>
    <row r="14" spans="1:23" x14ac:dyDescent="0.2">
      <c r="C14" s="13"/>
      <c r="D14" s="13"/>
      <c r="E14" s="6" t="s">
        <v>134</v>
      </c>
      <c r="F14" s="7">
        <v>34625</v>
      </c>
      <c r="H14" s="6" t="s">
        <v>156</v>
      </c>
      <c r="I14" s="4">
        <v>5</v>
      </c>
      <c r="K14" s="6" t="s">
        <v>53</v>
      </c>
      <c r="L14" s="16">
        <v>4.0769230769230773E-2</v>
      </c>
      <c r="M14" s="7">
        <v>287530</v>
      </c>
      <c r="N14" s="7"/>
    </row>
    <row r="15" spans="1:23" x14ac:dyDescent="0.2">
      <c r="C15" s="13"/>
      <c r="D15" s="13"/>
      <c r="E15" s="6" t="s">
        <v>174</v>
      </c>
      <c r="F15" s="7">
        <v>34200</v>
      </c>
      <c r="H15" s="6" t="s">
        <v>80</v>
      </c>
      <c r="I15" s="4">
        <v>4</v>
      </c>
      <c r="K15" s="6" t="s">
        <v>62</v>
      </c>
      <c r="L15" s="16">
        <v>8.1818181818181818E-2</v>
      </c>
      <c r="M15" s="7">
        <v>184930</v>
      </c>
      <c r="N15" s="7"/>
      <c r="S15" s="17" t="s">
        <v>452</v>
      </c>
    </row>
    <row r="16" spans="1:23" x14ac:dyDescent="0.2">
      <c r="C16" s="13"/>
      <c r="D16" s="13"/>
      <c r="E16" s="6" t="s">
        <v>156</v>
      </c>
      <c r="F16" s="7">
        <v>30875</v>
      </c>
      <c r="H16" s="6" t="s">
        <v>40</v>
      </c>
      <c r="I16" s="4">
        <v>4</v>
      </c>
      <c r="K16" s="6" t="s">
        <v>87</v>
      </c>
      <c r="L16" s="16">
        <v>0.12777777777777777</v>
      </c>
      <c r="M16" s="7">
        <v>41645</v>
      </c>
    </row>
    <row r="17" spans="3:19" x14ac:dyDescent="0.2">
      <c r="E17" s="6" t="s">
        <v>129</v>
      </c>
      <c r="F17" s="7">
        <v>27000</v>
      </c>
      <c r="H17" s="6" t="s">
        <v>348</v>
      </c>
      <c r="I17" s="4">
        <v>4</v>
      </c>
      <c r="Q17" t="s">
        <v>428</v>
      </c>
      <c r="S17" t="s">
        <v>453</v>
      </c>
    </row>
    <row r="18" spans="3:19" x14ac:dyDescent="0.2">
      <c r="E18" s="6" t="s">
        <v>161</v>
      </c>
      <c r="F18" s="7">
        <v>24650</v>
      </c>
      <c r="H18" s="6" t="s">
        <v>110</v>
      </c>
      <c r="I18" s="4">
        <v>3</v>
      </c>
      <c r="S18" t="s">
        <v>454</v>
      </c>
    </row>
    <row r="19" spans="3:19" x14ac:dyDescent="0.2">
      <c r="E19" s="6" t="s">
        <v>54</v>
      </c>
      <c r="F19" s="7">
        <v>22500</v>
      </c>
      <c r="H19" s="6" t="s">
        <v>161</v>
      </c>
      <c r="I19" s="4">
        <v>3</v>
      </c>
    </row>
    <row r="20" spans="3:19" x14ac:dyDescent="0.2">
      <c r="E20" s="6" t="s">
        <v>189</v>
      </c>
      <c r="F20" s="7">
        <v>13500</v>
      </c>
      <c r="H20" s="6" t="s">
        <v>210</v>
      </c>
      <c r="I20" s="4">
        <v>2</v>
      </c>
      <c r="K20" s="21" t="s">
        <v>438</v>
      </c>
      <c r="L20" s="21"/>
      <c r="S20" s="17" t="s">
        <v>455</v>
      </c>
    </row>
    <row r="21" spans="3:19" x14ac:dyDescent="0.2">
      <c r="C21" s="13"/>
      <c r="D21" s="13"/>
      <c r="E21" s="6" t="s">
        <v>88</v>
      </c>
      <c r="F21" s="7">
        <v>9625</v>
      </c>
      <c r="H21" s="6" t="s">
        <v>359</v>
      </c>
      <c r="I21" s="4">
        <v>2</v>
      </c>
      <c r="L21" s="8" t="s">
        <v>433</v>
      </c>
    </row>
    <row r="22" spans="3:19" x14ac:dyDescent="0.2">
      <c r="E22" s="6" t="s">
        <v>195</v>
      </c>
      <c r="F22" s="7">
        <v>9500</v>
      </c>
      <c r="H22" s="6" t="s">
        <v>129</v>
      </c>
      <c r="I22" s="4">
        <v>2</v>
      </c>
      <c r="K22" s="6" t="s">
        <v>326</v>
      </c>
      <c r="L22" s="7">
        <v>429300</v>
      </c>
      <c r="S22" t="s">
        <v>456</v>
      </c>
    </row>
    <row r="23" spans="3:19" x14ac:dyDescent="0.2">
      <c r="D23" s="4"/>
      <c r="E23" s="6" t="s">
        <v>351</v>
      </c>
      <c r="F23" s="7">
        <v>9120</v>
      </c>
      <c r="H23" s="6" t="s">
        <v>105</v>
      </c>
      <c r="I23" s="4">
        <v>2</v>
      </c>
      <c r="K23" s="6" t="s">
        <v>72</v>
      </c>
      <c r="L23" s="7">
        <v>422790</v>
      </c>
    </row>
    <row r="24" spans="3:19" x14ac:dyDescent="0.2">
      <c r="D24" s="4"/>
      <c r="E24" s="6" t="s">
        <v>151</v>
      </c>
      <c r="F24" s="7">
        <v>5220</v>
      </c>
      <c r="H24" s="6" t="s">
        <v>174</v>
      </c>
      <c r="I24" s="4">
        <v>2</v>
      </c>
      <c r="K24" s="6" t="s">
        <v>37</v>
      </c>
      <c r="L24" s="7">
        <v>266615</v>
      </c>
      <c r="S24" s="17" t="s">
        <v>457</v>
      </c>
    </row>
    <row r="25" spans="3:19" x14ac:dyDescent="0.2">
      <c r="D25" s="4"/>
      <c r="E25" s="6" t="s">
        <v>210</v>
      </c>
      <c r="F25" s="7">
        <v>4180</v>
      </c>
      <c r="H25" s="6" t="s">
        <v>195</v>
      </c>
      <c r="I25" s="4">
        <v>1</v>
      </c>
    </row>
    <row r="26" spans="3:19" x14ac:dyDescent="0.2">
      <c r="D26" s="4"/>
      <c r="S26" s="17" t="s">
        <v>458</v>
      </c>
    </row>
    <row r="27" spans="3:19" x14ac:dyDescent="0.2">
      <c r="D27" s="4"/>
    </row>
    <row r="28" spans="3:19" x14ac:dyDescent="0.2">
      <c r="D28" s="4"/>
      <c r="S28" s="17" t="s">
        <v>459</v>
      </c>
    </row>
    <row r="30" spans="3:19" x14ac:dyDescent="0.2">
      <c r="S30" s="17" t="s">
        <v>460</v>
      </c>
    </row>
  </sheetData>
  <mergeCells count="7">
    <mergeCell ref="O3:Q3"/>
    <mergeCell ref="A1:W1"/>
    <mergeCell ref="E3:F3"/>
    <mergeCell ref="H3:I3"/>
    <mergeCell ref="K3:M3"/>
    <mergeCell ref="K20:L20"/>
    <mergeCell ref="K11:M11"/>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6FBEB-3EA6-2C45-9A30-39D327343BFC}">
  <dimension ref="A1:S52"/>
  <sheetViews>
    <sheetView zoomScale="110" workbookViewId="0">
      <selection activeCell="I18" sqref="A3:S52"/>
    </sheetView>
  </sheetViews>
  <sheetFormatPr baseColWidth="10" defaultRowHeight="15" x14ac:dyDescent="0.2"/>
  <cols>
    <col min="1" max="1" width="10.1640625" bestFit="1" customWidth="1"/>
    <col min="2" max="3" width="11.83203125" bestFit="1" customWidth="1"/>
    <col min="4" max="4" width="11.6640625" bestFit="1" customWidth="1"/>
    <col min="5" max="5" width="22.5" bestFit="1" customWidth="1"/>
    <col min="6" max="6" width="9" bestFit="1" customWidth="1"/>
    <col min="7" max="7" width="12" bestFit="1" customWidth="1"/>
    <col min="8" max="8" width="12.5" bestFit="1" customWidth="1"/>
    <col min="9" max="9" width="17" bestFit="1" customWidth="1"/>
    <col min="10" max="10" width="14.5" bestFit="1" customWidth="1"/>
    <col min="11" max="11" width="10.5" bestFit="1" customWidth="1"/>
    <col min="12" max="12" width="15.83203125" bestFit="1" customWidth="1"/>
    <col min="13" max="13" width="11.83203125" bestFit="1" customWidth="1"/>
    <col min="14" max="14" width="11" bestFit="1" customWidth="1"/>
    <col min="15" max="15" width="17.1640625" bestFit="1" customWidth="1"/>
    <col min="16" max="16" width="8.5" bestFit="1" customWidth="1"/>
    <col min="17" max="17" width="14.1640625" bestFit="1" customWidth="1"/>
    <col min="18" max="18" width="16.83203125" bestFit="1" customWidth="1"/>
    <col min="19" max="19" width="15.1640625" bestFit="1" customWidth="1"/>
  </cols>
  <sheetData>
    <row r="1" spans="1:19" ht="34" x14ac:dyDescent="0.2">
      <c r="A1" s="18" t="s">
        <v>461</v>
      </c>
      <c r="B1" s="18"/>
      <c r="C1" s="18"/>
      <c r="D1" s="18"/>
      <c r="E1" s="18"/>
      <c r="F1" s="18"/>
      <c r="G1" s="18"/>
      <c r="H1" s="18"/>
      <c r="I1" s="18"/>
      <c r="J1" s="18"/>
      <c r="K1" s="18"/>
      <c r="L1" s="18"/>
      <c r="M1" s="18"/>
      <c r="N1" s="18"/>
      <c r="O1" s="18"/>
      <c r="P1" s="18"/>
      <c r="Q1" s="18"/>
    </row>
    <row r="2" spans="1:19" x14ac:dyDescent="0.2">
      <c r="A2" t="s">
        <v>0</v>
      </c>
      <c r="B2" t="s">
        <v>1</v>
      </c>
      <c r="C2" t="s">
        <v>321</v>
      </c>
      <c r="D2" t="s">
        <v>322</v>
      </c>
      <c r="E2" t="s">
        <v>323</v>
      </c>
      <c r="F2" t="s">
        <v>4</v>
      </c>
      <c r="G2" t="s">
        <v>6</v>
      </c>
      <c r="H2" t="s">
        <v>7</v>
      </c>
      <c r="I2" t="s">
        <v>8</v>
      </c>
      <c r="J2" t="s">
        <v>9</v>
      </c>
      <c r="K2" t="s">
        <v>10</v>
      </c>
      <c r="L2" t="s">
        <v>11</v>
      </c>
      <c r="M2" t="s">
        <v>12</v>
      </c>
      <c r="N2" t="s">
        <v>13</v>
      </c>
      <c r="O2" t="s">
        <v>14</v>
      </c>
      <c r="P2" t="s">
        <v>15</v>
      </c>
      <c r="Q2" t="s">
        <v>16</v>
      </c>
      <c r="R2" t="s">
        <v>17</v>
      </c>
      <c r="S2" t="s">
        <v>439</v>
      </c>
    </row>
    <row r="3" spans="1:19" x14ac:dyDescent="0.2">
      <c r="A3" t="s">
        <v>18</v>
      </c>
      <c r="B3" s="3">
        <v>45296</v>
      </c>
      <c r="C3" s="4" t="s">
        <v>324</v>
      </c>
      <c r="D3" s="4" t="s">
        <v>325</v>
      </c>
      <c r="E3" s="4" t="s">
        <v>21</v>
      </c>
      <c r="F3" s="4" t="s">
        <v>22</v>
      </c>
      <c r="G3" s="4" t="s">
        <v>326</v>
      </c>
      <c r="H3" s="4" t="s">
        <v>24</v>
      </c>
      <c r="I3" s="4" t="s">
        <v>25</v>
      </c>
      <c r="J3" s="4" t="s">
        <v>26</v>
      </c>
      <c r="K3">
        <v>2</v>
      </c>
      <c r="L3">
        <v>45000</v>
      </c>
      <c r="M3">
        <v>0.1</v>
      </c>
      <c r="N3">
        <v>81000</v>
      </c>
      <c r="O3" t="s">
        <v>28</v>
      </c>
      <c r="P3" s="4" t="s">
        <v>29</v>
      </c>
      <c r="Q3" s="3">
        <v>45301</v>
      </c>
      <c r="R3" s="4"/>
      <c r="S3" s="15">
        <f>IF(Query1[[#This Row],[Delivery Date]]="", "",Query1[[#This Row],[Delivery Date]]-Query1[[#This Row],[order date]])</f>
        <v>5</v>
      </c>
    </row>
    <row r="4" spans="1:19" x14ac:dyDescent="0.2">
      <c r="A4" t="s">
        <v>31</v>
      </c>
      <c r="B4" s="3">
        <v>45299</v>
      </c>
      <c r="C4" s="4" t="s">
        <v>327</v>
      </c>
      <c r="D4" s="4" t="s">
        <v>328</v>
      </c>
      <c r="E4" s="4" t="s">
        <v>34</v>
      </c>
      <c r="F4" s="4" t="s">
        <v>35</v>
      </c>
      <c r="G4" s="4" t="s">
        <v>37</v>
      </c>
      <c r="H4" s="4" t="s">
        <v>38</v>
      </c>
      <c r="I4" s="4" t="s">
        <v>25</v>
      </c>
      <c r="J4" s="4" t="s">
        <v>40</v>
      </c>
      <c r="K4">
        <v>1</v>
      </c>
      <c r="L4">
        <v>18500</v>
      </c>
      <c r="M4">
        <v>0.05</v>
      </c>
      <c r="N4">
        <v>17575</v>
      </c>
      <c r="O4" t="s">
        <v>42</v>
      </c>
      <c r="P4" s="4" t="s">
        <v>29</v>
      </c>
      <c r="Q4" s="3">
        <v>45306</v>
      </c>
      <c r="R4" s="4" t="s">
        <v>329</v>
      </c>
      <c r="S4" s="15">
        <f>IF(Query1[[#This Row],[Delivery Date]]="", "",Query1[[#This Row],[Delivery Date]]-Query1[[#This Row],[order date]])</f>
        <v>7</v>
      </c>
    </row>
    <row r="5" spans="1:19" x14ac:dyDescent="0.2">
      <c r="A5" t="s">
        <v>46</v>
      </c>
      <c r="B5" s="3">
        <v>45301</v>
      </c>
      <c r="C5" s="4" t="s">
        <v>330</v>
      </c>
      <c r="D5" s="4" t="s">
        <v>331</v>
      </c>
      <c r="E5" s="4" t="s">
        <v>49</v>
      </c>
      <c r="F5" s="4" t="s">
        <v>50</v>
      </c>
      <c r="G5" s="4" t="s">
        <v>326</v>
      </c>
      <c r="H5" s="4" t="s">
        <v>24</v>
      </c>
      <c r="I5" s="4" t="s">
        <v>53</v>
      </c>
      <c r="J5" s="4" t="s">
        <v>54</v>
      </c>
      <c r="K5">
        <v>3</v>
      </c>
      <c r="L5">
        <v>2500</v>
      </c>
      <c r="M5">
        <v>0</v>
      </c>
      <c r="N5">
        <v>7500</v>
      </c>
      <c r="O5" t="s">
        <v>56</v>
      </c>
      <c r="P5" s="4" t="s">
        <v>57</v>
      </c>
      <c r="Q5" s="3"/>
      <c r="R5" s="4" t="s">
        <v>332</v>
      </c>
      <c r="S5" s="15" t="str">
        <f>IF(Query1[[#This Row],[Delivery Date]]="", "",Query1[[#This Row],[Delivery Date]]-Query1[[#This Row],[order date]])</f>
        <v/>
      </c>
    </row>
    <row r="6" spans="1:19" x14ac:dyDescent="0.2">
      <c r="A6" t="s">
        <v>59</v>
      </c>
      <c r="B6" s="3">
        <v>45303</v>
      </c>
      <c r="C6" s="4" t="s">
        <v>333</v>
      </c>
      <c r="D6" s="4" t="s">
        <v>334</v>
      </c>
      <c r="E6" s="4"/>
      <c r="F6" s="4" t="s">
        <v>22</v>
      </c>
      <c r="G6" s="4" t="s">
        <v>37</v>
      </c>
      <c r="H6" s="4" t="s">
        <v>38</v>
      </c>
      <c r="I6" s="4" t="s">
        <v>62</v>
      </c>
      <c r="J6" s="4" t="s">
        <v>63</v>
      </c>
      <c r="K6">
        <v>1</v>
      </c>
      <c r="L6">
        <v>8900</v>
      </c>
      <c r="M6">
        <v>0.15</v>
      </c>
      <c r="N6">
        <v>7565</v>
      </c>
      <c r="O6" t="s">
        <v>28</v>
      </c>
      <c r="P6" s="4" t="s">
        <v>29</v>
      </c>
      <c r="Q6" s="3">
        <v>45309</v>
      </c>
      <c r="R6" s="4"/>
      <c r="S6" s="15">
        <f>IF(Query1[[#This Row],[Delivery Date]]="", "",Query1[[#This Row],[Delivery Date]]-Query1[[#This Row],[order date]])</f>
        <v>6</v>
      </c>
    </row>
    <row r="7" spans="1:19" x14ac:dyDescent="0.2">
      <c r="A7" t="s">
        <v>66</v>
      </c>
      <c r="B7" s="3">
        <v>45306</v>
      </c>
      <c r="C7" s="4" t="s">
        <v>335</v>
      </c>
      <c r="D7" s="4" t="s">
        <v>336</v>
      </c>
      <c r="E7" s="4" t="s">
        <v>69</v>
      </c>
      <c r="F7" s="4" t="s">
        <v>70</v>
      </c>
      <c r="G7" s="4" t="s">
        <v>72</v>
      </c>
      <c r="H7" s="4" t="s">
        <v>73</v>
      </c>
      <c r="I7" s="4" t="s">
        <v>25</v>
      </c>
      <c r="J7" s="4" t="s">
        <v>74</v>
      </c>
      <c r="K7">
        <v>2</v>
      </c>
      <c r="L7">
        <v>12000</v>
      </c>
      <c r="M7">
        <v>0.1</v>
      </c>
      <c r="N7">
        <v>21600</v>
      </c>
      <c r="O7" t="s">
        <v>75</v>
      </c>
      <c r="P7" s="4" t="s">
        <v>76</v>
      </c>
      <c r="Q7" s="3"/>
      <c r="R7" s="4" t="s">
        <v>337</v>
      </c>
      <c r="S7" s="15" t="str">
        <f>IF(Query1[[#This Row],[Delivery Date]]="", "",Query1[[#This Row],[Delivery Date]]-Query1[[#This Row],[order date]])</f>
        <v/>
      </c>
    </row>
    <row r="8" spans="1:19" x14ac:dyDescent="0.2">
      <c r="A8" t="s">
        <v>79</v>
      </c>
      <c r="B8" s="3">
        <v>45309</v>
      </c>
      <c r="C8" s="4" t="s">
        <v>324</v>
      </c>
      <c r="D8" s="4" t="s">
        <v>325</v>
      </c>
      <c r="E8" s="4" t="s">
        <v>21</v>
      </c>
      <c r="F8" s="4" t="s">
        <v>22</v>
      </c>
      <c r="G8" s="4" t="s">
        <v>326</v>
      </c>
      <c r="H8" s="4" t="s">
        <v>24</v>
      </c>
      <c r="I8" s="4" t="s">
        <v>53</v>
      </c>
      <c r="J8" s="4" t="s">
        <v>80</v>
      </c>
      <c r="K8">
        <v>1</v>
      </c>
      <c r="L8">
        <v>32000</v>
      </c>
      <c r="M8">
        <v>0.05</v>
      </c>
      <c r="N8">
        <v>30400</v>
      </c>
      <c r="O8" t="s">
        <v>81</v>
      </c>
      <c r="P8" s="4" t="s">
        <v>29</v>
      </c>
      <c r="Q8" s="3">
        <v>45316</v>
      </c>
      <c r="R8" s="4"/>
      <c r="S8" s="15">
        <f>IF(Query1[[#This Row],[Delivery Date]]="", "",Query1[[#This Row],[Delivery Date]]-Query1[[#This Row],[order date]])</f>
        <v>7</v>
      </c>
    </row>
    <row r="9" spans="1:19" x14ac:dyDescent="0.2">
      <c r="A9" t="s">
        <v>83</v>
      </c>
      <c r="B9" s="3">
        <v>45311</v>
      </c>
      <c r="C9" s="4" t="s">
        <v>338</v>
      </c>
      <c r="D9" s="4" t="s">
        <v>328</v>
      </c>
      <c r="E9" s="4" t="s">
        <v>86</v>
      </c>
      <c r="F9" s="4" t="s">
        <v>35</v>
      </c>
      <c r="G9" s="4" t="s">
        <v>37</v>
      </c>
      <c r="H9" s="4" t="s">
        <v>38</v>
      </c>
      <c r="I9" s="4" t="s">
        <v>87</v>
      </c>
      <c r="J9" s="4" t="s">
        <v>88</v>
      </c>
      <c r="K9">
        <v>10</v>
      </c>
      <c r="L9">
        <v>500</v>
      </c>
      <c r="M9">
        <v>0.2</v>
      </c>
      <c r="N9">
        <v>4000</v>
      </c>
      <c r="O9" t="s">
        <v>42</v>
      </c>
      <c r="P9" s="4" t="s">
        <v>29</v>
      </c>
      <c r="Q9" s="3">
        <v>45318</v>
      </c>
      <c r="R9" s="4" t="s">
        <v>339</v>
      </c>
      <c r="S9" s="15">
        <f>IF(Query1[[#This Row],[Delivery Date]]="", "",Query1[[#This Row],[Delivery Date]]-Query1[[#This Row],[order date]])</f>
        <v>7</v>
      </c>
    </row>
    <row r="10" spans="1:19" x14ac:dyDescent="0.2">
      <c r="A10" t="s">
        <v>92</v>
      </c>
      <c r="B10" s="3">
        <v>45313</v>
      </c>
      <c r="C10" s="4" t="s">
        <v>340</v>
      </c>
      <c r="D10" s="4" t="s">
        <v>341</v>
      </c>
      <c r="E10" s="4" t="s">
        <v>95</v>
      </c>
      <c r="F10" s="4" t="s">
        <v>50</v>
      </c>
      <c r="G10" s="4" t="s">
        <v>72</v>
      </c>
      <c r="H10" s="4" t="s">
        <v>73</v>
      </c>
      <c r="I10" s="4" t="s">
        <v>25</v>
      </c>
      <c r="J10" s="4" t="s">
        <v>26</v>
      </c>
      <c r="K10">
        <v>1</v>
      </c>
      <c r="L10">
        <v>45000</v>
      </c>
      <c r="M10">
        <v>0</v>
      </c>
      <c r="N10">
        <v>45000</v>
      </c>
      <c r="O10" t="s">
        <v>28</v>
      </c>
      <c r="P10" s="4" t="s">
        <v>99</v>
      </c>
      <c r="Q10" s="3">
        <v>45319</v>
      </c>
      <c r="R10" s="4" t="s">
        <v>342</v>
      </c>
      <c r="S10" s="15">
        <f>IF(Query1[[#This Row],[Delivery Date]]="", "",Query1[[#This Row],[Delivery Date]]-Query1[[#This Row],[order date]])</f>
        <v>6</v>
      </c>
    </row>
    <row r="11" spans="1:19" x14ac:dyDescent="0.2">
      <c r="A11" t="s">
        <v>102</v>
      </c>
      <c r="B11" s="3">
        <v>45316</v>
      </c>
      <c r="C11" s="4" t="s">
        <v>343</v>
      </c>
      <c r="D11" s="4" t="s">
        <v>344</v>
      </c>
      <c r="E11" s="4" t="s">
        <v>104</v>
      </c>
      <c r="F11" s="4" t="s">
        <v>22</v>
      </c>
      <c r="G11" s="4" t="s">
        <v>326</v>
      </c>
      <c r="H11" s="4" t="s">
        <v>24</v>
      </c>
      <c r="I11" s="4" t="s">
        <v>62</v>
      </c>
      <c r="J11" s="4" t="s">
        <v>105</v>
      </c>
      <c r="K11">
        <v>1</v>
      </c>
      <c r="L11">
        <v>25000</v>
      </c>
      <c r="M11">
        <v>0.1</v>
      </c>
      <c r="N11">
        <v>22500</v>
      </c>
      <c r="O11" t="s">
        <v>56</v>
      </c>
      <c r="P11" s="4" t="s">
        <v>29</v>
      </c>
      <c r="Q11" s="3">
        <v>45323</v>
      </c>
      <c r="R11" s="4"/>
      <c r="S11" s="15">
        <f>IF(Query1[[#This Row],[Delivery Date]]="", "",Query1[[#This Row],[Delivery Date]]-Query1[[#This Row],[order date]])</f>
        <v>7</v>
      </c>
    </row>
    <row r="12" spans="1:19" x14ac:dyDescent="0.2">
      <c r="A12" t="s">
        <v>107</v>
      </c>
      <c r="B12" s="3">
        <v>45319</v>
      </c>
      <c r="C12" s="4" t="s">
        <v>345</v>
      </c>
      <c r="D12" s="4" t="s">
        <v>346</v>
      </c>
      <c r="E12" s="4" t="s">
        <v>109</v>
      </c>
      <c r="F12" s="4" t="s">
        <v>70</v>
      </c>
      <c r="G12" s="4" t="s">
        <v>37</v>
      </c>
      <c r="H12" s="4" t="s">
        <v>38</v>
      </c>
      <c r="I12" s="4" t="s">
        <v>53</v>
      </c>
      <c r="J12" s="4" t="s">
        <v>110</v>
      </c>
      <c r="K12">
        <v>1</v>
      </c>
      <c r="L12">
        <v>28000</v>
      </c>
      <c r="M12">
        <v>0.05</v>
      </c>
      <c r="N12">
        <v>26600</v>
      </c>
      <c r="O12" t="s">
        <v>81</v>
      </c>
      <c r="P12" s="4" t="s">
        <v>57</v>
      </c>
      <c r="Q12" s="3"/>
      <c r="R12" s="4"/>
      <c r="S12" s="15" t="str">
        <f>IF(Query1[[#This Row],[Delivery Date]]="", "",Query1[[#This Row],[Delivery Date]]-Query1[[#This Row],[order date]])</f>
        <v/>
      </c>
    </row>
    <row r="13" spans="1:19" x14ac:dyDescent="0.2">
      <c r="A13" t="s">
        <v>111</v>
      </c>
      <c r="B13" s="3">
        <v>45323</v>
      </c>
      <c r="C13" s="4" t="s">
        <v>347</v>
      </c>
      <c r="D13" s="4" t="s">
        <v>325</v>
      </c>
      <c r="E13" s="4" t="s">
        <v>113</v>
      </c>
      <c r="F13" s="4" t="s">
        <v>22</v>
      </c>
      <c r="G13" s="4" t="s">
        <v>72</v>
      </c>
      <c r="H13" s="4" t="s">
        <v>73</v>
      </c>
      <c r="I13" s="4" t="s">
        <v>25</v>
      </c>
      <c r="J13" s="4" t="s">
        <v>348</v>
      </c>
      <c r="K13">
        <v>1</v>
      </c>
      <c r="L13">
        <v>35000</v>
      </c>
      <c r="M13">
        <v>0.08</v>
      </c>
      <c r="N13">
        <v>32200</v>
      </c>
      <c r="O13" t="s">
        <v>75</v>
      </c>
      <c r="P13" s="4" t="s">
        <v>29</v>
      </c>
      <c r="Q13" s="3">
        <v>45329</v>
      </c>
      <c r="R13" s="4"/>
      <c r="S13" s="15">
        <f>IF(Query1[[#This Row],[Delivery Date]]="", "",Query1[[#This Row],[Delivery Date]]-Query1[[#This Row],[order date]])</f>
        <v>6</v>
      </c>
    </row>
    <row r="14" spans="1:19" x14ac:dyDescent="0.2">
      <c r="A14" t="s">
        <v>118</v>
      </c>
      <c r="B14" s="3">
        <v>45325</v>
      </c>
      <c r="C14" s="4" t="s">
        <v>349</v>
      </c>
      <c r="D14" s="4" t="s">
        <v>350</v>
      </c>
      <c r="E14" s="4" t="s">
        <v>121</v>
      </c>
      <c r="F14" s="4" t="s">
        <v>35</v>
      </c>
      <c r="G14" s="4" t="s">
        <v>326</v>
      </c>
      <c r="H14" s="4" t="s">
        <v>24</v>
      </c>
      <c r="I14" s="4" t="s">
        <v>87</v>
      </c>
      <c r="J14" s="4" t="s">
        <v>351</v>
      </c>
      <c r="K14">
        <v>5</v>
      </c>
      <c r="L14">
        <v>800</v>
      </c>
      <c r="M14">
        <v>0</v>
      </c>
      <c r="N14">
        <v>4000</v>
      </c>
      <c r="O14" t="s">
        <v>42</v>
      </c>
      <c r="P14" s="4" t="s">
        <v>29</v>
      </c>
      <c r="Q14" s="3">
        <v>45332</v>
      </c>
      <c r="R14" s="4"/>
      <c r="S14" s="15">
        <f>IF(Query1[[#This Row],[Delivery Date]]="", "",Query1[[#This Row],[Delivery Date]]-Query1[[#This Row],[order date]])</f>
        <v>7</v>
      </c>
    </row>
    <row r="15" spans="1:19" x14ac:dyDescent="0.2">
      <c r="A15" t="s">
        <v>125</v>
      </c>
      <c r="B15" s="3">
        <v>45327</v>
      </c>
      <c r="C15" s="4" t="s">
        <v>352</v>
      </c>
      <c r="D15" s="4" t="s">
        <v>353</v>
      </c>
      <c r="E15" s="4" t="s">
        <v>128</v>
      </c>
      <c r="F15" s="4" t="s">
        <v>50</v>
      </c>
      <c r="G15" s="4" t="s">
        <v>37</v>
      </c>
      <c r="H15" s="4" t="s">
        <v>38</v>
      </c>
      <c r="I15" s="4" t="s">
        <v>62</v>
      </c>
      <c r="J15" s="4" t="s">
        <v>129</v>
      </c>
      <c r="K15">
        <v>1</v>
      </c>
      <c r="L15">
        <v>15000</v>
      </c>
      <c r="M15">
        <v>0.1</v>
      </c>
      <c r="N15">
        <v>13500</v>
      </c>
      <c r="O15" t="s">
        <v>28</v>
      </c>
      <c r="P15" s="4" t="s">
        <v>29</v>
      </c>
      <c r="Q15" s="3">
        <v>45334</v>
      </c>
      <c r="R15" s="4"/>
      <c r="S15" s="15">
        <f>IF(Query1[[#This Row],[Delivery Date]]="", "",Query1[[#This Row],[Delivery Date]]-Query1[[#This Row],[order date]])</f>
        <v>7</v>
      </c>
    </row>
    <row r="16" spans="1:19" x14ac:dyDescent="0.2">
      <c r="A16" t="s">
        <v>131</v>
      </c>
      <c r="B16" s="3">
        <v>45330</v>
      </c>
      <c r="C16" s="4" t="s">
        <v>354</v>
      </c>
      <c r="D16" s="4" t="s">
        <v>355</v>
      </c>
      <c r="E16" s="4"/>
      <c r="F16" s="4" t="s">
        <v>22</v>
      </c>
      <c r="G16" s="4" t="s">
        <v>72</v>
      </c>
      <c r="H16" s="4" t="s">
        <v>73</v>
      </c>
      <c r="I16" s="4" t="s">
        <v>25</v>
      </c>
      <c r="J16" s="4" t="s">
        <v>134</v>
      </c>
      <c r="K16">
        <v>3</v>
      </c>
      <c r="L16">
        <v>2500</v>
      </c>
      <c r="M16">
        <v>0.05</v>
      </c>
      <c r="N16">
        <v>7125</v>
      </c>
      <c r="O16" t="s">
        <v>42</v>
      </c>
      <c r="P16" s="4" t="s">
        <v>29</v>
      </c>
      <c r="Q16" s="3">
        <v>45336</v>
      </c>
      <c r="R16" s="4" t="s">
        <v>356</v>
      </c>
      <c r="S16" s="15">
        <f>IF(Query1[[#This Row],[Delivery Date]]="", "",Query1[[#This Row],[Delivery Date]]-Query1[[#This Row],[order date]])</f>
        <v>6</v>
      </c>
    </row>
    <row r="17" spans="1:19" x14ac:dyDescent="0.2">
      <c r="A17" t="s">
        <v>137</v>
      </c>
      <c r="B17" s="3">
        <v>45332</v>
      </c>
      <c r="C17" s="4" t="s">
        <v>357</v>
      </c>
      <c r="D17" s="4" t="s">
        <v>358</v>
      </c>
      <c r="E17" s="4" t="s">
        <v>139</v>
      </c>
      <c r="F17" s="4" t="s">
        <v>70</v>
      </c>
      <c r="G17" s="4" t="s">
        <v>326</v>
      </c>
      <c r="H17" s="4" t="s">
        <v>24</v>
      </c>
      <c r="I17" s="4" t="s">
        <v>53</v>
      </c>
      <c r="J17" s="4" t="s">
        <v>359</v>
      </c>
      <c r="K17">
        <v>1</v>
      </c>
      <c r="L17">
        <v>22000</v>
      </c>
      <c r="M17">
        <v>0.1</v>
      </c>
      <c r="N17">
        <v>19800</v>
      </c>
      <c r="O17" t="s">
        <v>81</v>
      </c>
      <c r="P17" s="4" t="s">
        <v>29</v>
      </c>
      <c r="Q17" s="3">
        <v>45339</v>
      </c>
      <c r="R17" s="4"/>
      <c r="S17" s="15">
        <f>IF(Query1[[#This Row],[Delivery Date]]="", "",Query1[[#This Row],[Delivery Date]]-Query1[[#This Row],[order date]])</f>
        <v>7</v>
      </c>
    </row>
    <row r="18" spans="1:19" x14ac:dyDescent="0.2">
      <c r="A18" t="s">
        <v>142</v>
      </c>
      <c r="B18" s="3">
        <v>45334</v>
      </c>
      <c r="C18" s="4" t="s">
        <v>360</v>
      </c>
      <c r="D18" s="4" t="s">
        <v>361</v>
      </c>
      <c r="E18" s="4" t="s">
        <v>144</v>
      </c>
      <c r="F18" s="4" t="s">
        <v>22</v>
      </c>
      <c r="G18" s="4" t="s">
        <v>37</v>
      </c>
      <c r="H18" s="4" t="s">
        <v>38</v>
      </c>
      <c r="I18" s="4" t="s">
        <v>25</v>
      </c>
      <c r="J18" s="4" t="s">
        <v>40</v>
      </c>
      <c r="K18">
        <v>2</v>
      </c>
      <c r="L18">
        <v>18500</v>
      </c>
      <c r="M18">
        <v>0</v>
      </c>
      <c r="N18">
        <v>37000</v>
      </c>
      <c r="O18" t="s">
        <v>28</v>
      </c>
      <c r="P18" s="4" t="s">
        <v>29</v>
      </c>
      <c r="Q18" s="3">
        <v>45340</v>
      </c>
      <c r="R18" s="4"/>
      <c r="S18" s="15">
        <f>IF(Query1[[#This Row],[Delivery Date]]="", "",Query1[[#This Row],[Delivery Date]]-Query1[[#This Row],[order date]])</f>
        <v>6</v>
      </c>
    </row>
    <row r="19" spans="1:19" x14ac:dyDescent="0.2">
      <c r="A19" t="s">
        <v>146</v>
      </c>
      <c r="B19" s="3">
        <v>45336</v>
      </c>
      <c r="C19" s="4" t="s">
        <v>362</v>
      </c>
      <c r="D19" s="4" t="s">
        <v>363</v>
      </c>
      <c r="E19" s="4" t="s">
        <v>149</v>
      </c>
      <c r="F19" s="4" t="s">
        <v>35</v>
      </c>
      <c r="G19" s="4" t="s">
        <v>72</v>
      </c>
      <c r="H19" s="4" t="s">
        <v>73</v>
      </c>
      <c r="I19" s="4" t="s">
        <v>87</v>
      </c>
      <c r="J19" s="4" t="s">
        <v>151</v>
      </c>
      <c r="K19">
        <v>3</v>
      </c>
      <c r="L19">
        <v>1200</v>
      </c>
      <c r="M19">
        <v>0.15</v>
      </c>
      <c r="N19">
        <v>3060</v>
      </c>
      <c r="O19" t="s">
        <v>42</v>
      </c>
      <c r="P19" s="4" t="s">
        <v>29</v>
      </c>
      <c r="Q19" s="3">
        <v>45342</v>
      </c>
      <c r="R19" s="4"/>
      <c r="S19" s="15">
        <f>IF(Query1[[#This Row],[Delivery Date]]="", "",Query1[[#This Row],[Delivery Date]]-Query1[[#This Row],[order date]])</f>
        <v>6</v>
      </c>
    </row>
    <row r="20" spans="1:19" x14ac:dyDescent="0.2">
      <c r="A20" t="s">
        <v>153</v>
      </c>
      <c r="B20" s="3">
        <v>45340</v>
      </c>
      <c r="C20" s="4" t="s">
        <v>364</v>
      </c>
      <c r="D20" s="4" t="s">
        <v>365</v>
      </c>
      <c r="E20" s="4" t="s">
        <v>155</v>
      </c>
      <c r="F20" s="4" t="s">
        <v>50</v>
      </c>
      <c r="G20" s="4" t="s">
        <v>326</v>
      </c>
      <c r="H20" s="4" t="s">
        <v>24</v>
      </c>
      <c r="I20" s="4" t="s">
        <v>62</v>
      </c>
      <c r="J20" s="4" t="s">
        <v>156</v>
      </c>
      <c r="K20">
        <v>2</v>
      </c>
      <c r="L20">
        <v>6500</v>
      </c>
      <c r="M20">
        <v>0.05</v>
      </c>
      <c r="N20">
        <v>12350</v>
      </c>
      <c r="O20" t="s">
        <v>56</v>
      </c>
      <c r="P20" s="4" t="s">
        <v>57</v>
      </c>
      <c r="Q20" s="3"/>
      <c r="R20" s="4" t="s">
        <v>366</v>
      </c>
      <c r="S20" s="15" t="str">
        <f>IF(Query1[[#This Row],[Delivery Date]]="", "",Query1[[#This Row],[Delivery Date]]-Query1[[#This Row],[order date]])</f>
        <v/>
      </c>
    </row>
    <row r="21" spans="1:19" x14ac:dyDescent="0.2">
      <c r="A21" t="s">
        <v>158</v>
      </c>
      <c r="B21" s="3">
        <v>45342</v>
      </c>
      <c r="C21" s="4" t="s">
        <v>367</v>
      </c>
      <c r="D21" s="4" t="s">
        <v>368</v>
      </c>
      <c r="E21" s="4" t="s">
        <v>160</v>
      </c>
      <c r="F21" s="4" t="s">
        <v>22</v>
      </c>
      <c r="G21" s="4" t="s">
        <v>37</v>
      </c>
      <c r="H21" s="4" t="s">
        <v>38</v>
      </c>
      <c r="I21" s="4" t="s">
        <v>53</v>
      </c>
      <c r="J21" s="4" t="s">
        <v>161</v>
      </c>
      <c r="K21">
        <v>1</v>
      </c>
      <c r="L21">
        <v>8500</v>
      </c>
      <c r="M21">
        <v>0</v>
      </c>
      <c r="N21">
        <v>8500</v>
      </c>
      <c r="O21" t="s">
        <v>75</v>
      </c>
      <c r="P21" s="4" t="s">
        <v>29</v>
      </c>
      <c r="Q21" s="3">
        <v>45348</v>
      </c>
      <c r="R21" s="4"/>
      <c r="S21" s="15">
        <f>IF(Query1[[#This Row],[Delivery Date]]="", "",Query1[[#This Row],[Delivery Date]]-Query1[[#This Row],[order date]])</f>
        <v>6</v>
      </c>
    </row>
    <row r="22" spans="1:19" x14ac:dyDescent="0.2">
      <c r="A22" t="s">
        <v>163</v>
      </c>
      <c r="B22" s="3">
        <v>45344</v>
      </c>
      <c r="C22" s="4" t="s">
        <v>369</v>
      </c>
      <c r="D22" s="4" t="s">
        <v>325</v>
      </c>
      <c r="E22" s="4" t="s">
        <v>166</v>
      </c>
      <c r="F22" s="4" t="s">
        <v>70</v>
      </c>
      <c r="G22" s="4" t="s">
        <v>72</v>
      </c>
      <c r="H22" s="4" t="s">
        <v>73</v>
      </c>
      <c r="I22" s="4" t="s">
        <v>25</v>
      </c>
      <c r="J22" s="4" t="s">
        <v>26</v>
      </c>
      <c r="K22">
        <v>1</v>
      </c>
      <c r="L22">
        <v>45000</v>
      </c>
      <c r="M22">
        <v>0.12</v>
      </c>
      <c r="N22">
        <v>39600</v>
      </c>
      <c r="O22" t="s">
        <v>28</v>
      </c>
      <c r="P22" s="4" t="s">
        <v>29</v>
      </c>
      <c r="Q22" s="3">
        <v>45350</v>
      </c>
      <c r="R22" s="4"/>
      <c r="S22" s="15">
        <f>IF(Query1[[#This Row],[Delivery Date]]="", "",Query1[[#This Row],[Delivery Date]]-Query1[[#This Row],[order date]])</f>
        <v>6</v>
      </c>
    </row>
    <row r="23" spans="1:19" x14ac:dyDescent="0.2">
      <c r="A23" t="s">
        <v>170</v>
      </c>
      <c r="B23" s="3">
        <v>45352</v>
      </c>
      <c r="C23" s="4" t="s">
        <v>370</v>
      </c>
      <c r="D23" s="4" t="s">
        <v>371</v>
      </c>
      <c r="E23" s="4" t="s">
        <v>173</v>
      </c>
      <c r="F23" s="4" t="s">
        <v>22</v>
      </c>
      <c r="G23" s="4" t="s">
        <v>326</v>
      </c>
      <c r="H23" s="4" t="s">
        <v>24</v>
      </c>
      <c r="I23" s="4" t="s">
        <v>62</v>
      </c>
      <c r="J23" s="4" t="s">
        <v>174</v>
      </c>
      <c r="K23">
        <v>1</v>
      </c>
      <c r="L23">
        <v>18000</v>
      </c>
      <c r="M23">
        <v>0.1</v>
      </c>
      <c r="N23">
        <v>16200</v>
      </c>
      <c r="O23" t="s">
        <v>81</v>
      </c>
      <c r="P23" s="4" t="s">
        <v>29</v>
      </c>
      <c r="Q23" s="3">
        <v>45359</v>
      </c>
      <c r="R23" s="4"/>
      <c r="S23" s="15">
        <f>IF(Query1[[#This Row],[Delivery Date]]="", "",Query1[[#This Row],[Delivery Date]]-Query1[[#This Row],[order date]])</f>
        <v>7</v>
      </c>
    </row>
    <row r="24" spans="1:19" x14ac:dyDescent="0.2">
      <c r="A24" t="s">
        <v>176</v>
      </c>
      <c r="B24" s="3">
        <v>45354</v>
      </c>
      <c r="C24" s="4" t="s">
        <v>372</v>
      </c>
      <c r="D24" s="4" t="s">
        <v>373</v>
      </c>
      <c r="E24" s="4" t="s">
        <v>179</v>
      </c>
      <c r="F24" s="4" t="s">
        <v>35</v>
      </c>
      <c r="G24" s="4" t="s">
        <v>37</v>
      </c>
      <c r="H24" s="4" t="s">
        <v>38</v>
      </c>
      <c r="I24" s="4" t="s">
        <v>53</v>
      </c>
      <c r="J24" s="4" t="s">
        <v>54</v>
      </c>
      <c r="K24">
        <v>4</v>
      </c>
      <c r="L24">
        <v>2500</v>
      </c>
      <c r="M24">
        <v>0</v>
      </c>
      <c r="N24">
        <v>10000</v>
      </c>
      <c r="O24" t="s">
        <v>42</v>
      </c>
      <c r="P24" s="4" t="s">
        <v>29</v>
      </c>
      <c r="Q24" s="3">
        <v>45360</v>
      </c>
      <c r="R24" s="4"/>
      <c r="S24" s="15">
        <f>IF(Query1[[#This Row],[Delivery Date]]="", "",Query1[[#This Row],[Delivery Date]]-Query1[[#This Row],[order date]])</f>
        <v>6</v>
      </c>
    </row>
    <row r="25" spans="1:19" x14ac:dyDescent="0.2">
      <c r="A25" t="s">
        <v>181</v>
      </c>
      <c r="B25" s="3">
        <v>45356</v>
      </c>
      <c r="C25" s="4" t="s">
        <v>374</v>
      </c>
      <c r="D25" s="4" t="s">
        <v>375</v>
      </c>
      <c r="E25" s="4" t="s">
        <v>184</v>
      </c>
      <c r="F25" s="4" t="s">
        <v>50</v>
      </c>
      <c r="G25" s="4" t="s">
        <v>72</v>
      </c>
      <c r="H25" s="4" t="s">
        <v>73</v>
      </c>
      <c r="I25" s="4" t="s">
        <v>25</v>
      </c>
      <c r="J25" s="4" t="s">
        <v>348</v>
      </c>
      <c r="K25">
        <v>2</v>
      </c>
      <c r="L25">
        <v>35000</v>
      </c>
      <c r="M25">
        <v>0.05</v>
      </c>
      <c r="N25">
        <v>66500</v>
      </c>
      <c r="O25" t="s">
        <v>75</v>
      </c>
      <c r="P25" s="4" t="s">
        <v>29</v>
      </c>
      <c r="Q25" s="3">
        <v>45363</v>
      </c>
      <c r="R25" s="4"/>
      <c r="S25" s="15">
        <f>IF(Query1[[#This Row],[Delivery Date]]="", "",Query1[[#This Row],[Delivery Date]]-Query1[[#This Row],[order date]])</f>
        <v>7</v>
      </c>
    </row>
    <row r="26" spans="1:19" x14ac:dyDescent="0.2">
      <c r="A26" t="s">
        <v>186</v>
      </c>
      <c r="B26" s="3">
        <v>45358</v>
      </c>
      <c r="C26" s="4" t="s">
        <v>376</v>
      </c>
      <c r="D26" s="4" t="s">
        <v>377</v>
      </c>
      <c r="E26" s="4"/>
      <c r="F26" s="4" t="s">
        <v>22</v>
      </c>
      <c r="G26" s="4" t="s">
        <v>326</v>
      </c>
      <c r="H26" s="4" t="s">
        <v>24</v>
      </c>
      <c r="I26" s="4" t="s">
        <v>87</v>
      </c>
      <c r="J26" s="4" t="s">
        <v>189</v>
      </c>
      <c r="K26">
        <v>6</v>
      </c>
      <c r="L26">
        <v>1500</v>
      </c>
      <c r="M26">
        <v>0.1</v>
      </c>
      <c r="N26">
        <v>8100</v>
      </c>
      <c r="O26" t="s">
        <v>28</v>
      </c>
      <c r="P26" s="4" t="s">
        <v>76</v>
      </c>
      <c r="Q26" s="3"/>
      <c r="R26" s="4" t="s">
        <v>378</v>
      </c>
      <c r="S26" s="15" t="str">
        <f>IF(Query1[[#This Row],[Delivery Date]]="", "",Query1[[#This Row],[Delivery Date]]-Query1[[#This Row],[order date]])</f>
        <v/>
      </c>
    </row>
    <row r="27" spans="1:19" x14ac:dyDescent="0.2">
      <c r="A27" t="s">
        <v>191</v>
      </c>
      <c r="B27" s="3">
        <v>45361</v>
      </c>
      <c r="C27" s="4" t="s">
        <v>379</v>
      </c>
      <c r="D27" s="4" t="s">
        <v>380</v>
      </c>
      <c r="E27" s="4" t="s">
        <v>194</v>
      </c>
      <c r="F27" s="4" t="s">
        <v>70</v>
      </c>
      <c r="G27" s="4" t="s">
        <v>37</v>
      </c>
      <c r="H27" s="4" t="s">
        <v>38</v>
      </c>
      <c r="I27" s="4" t="s">
        <v>62</v>
      </c>
      <c r="J27" s="4" t="s">
        <v>195</v>
      </c>
      <c r="K27">
        <v>1</v>
      </c>
      <c r="L27">
        <v>9500</v>
      </c>
      <c r="M27">
        <v>0</v>
      </c>
      <c r="N27">
        <v>9500</v>
      </c>
      <c r="O27" t="s">
        <v>42</v>
      </c>
      <c r="P27" s="4" t="s">
        <v>29</v>
      </c>
      <c r="Q27" s="3">
        <v>45368</v>
      </c>
      <c r="R27" s="4"/>
      <c r="S27" s="15">
        <f>IF(Query1[[#This Row],[Delivery Date]]="", "",Query1[[#This Row],[Delivery Date]]-Query1[[#This Row],[order date]])</f>
        <v>7</v>
      </c>
    </row>
    <row r="28" spans="1:19" x14ac:dyDescent="0.2">
      <c r="A28" t="s">
        <v>197</v>
      </c>
      <c r="B28" s="3">
        <v>45363</v>
      </c>
      <c r="C28" s="4" t="s">
        <v>381</v>
      </c>
      <c r="D28" s="4" t="s">
        <v>382</v>
      </c>
      <c r="E28" s="4" t="s">
        <v>199</v>
      </c>
      <c r="F28" s="4" t="s">
        <v>22</v>
      </c>
      <c r="G28" s="4" t="s">
        <v>72</v>
      </c>
      <c r="H28" s="4" t="s">
        <v>73</v>
      </c>
      <c r="I28" s="4" t="s">
        <v>53</v>
      </c>
      <c r="J28" s="4" t="s">
        <v>80</v>
      </c>
      <c r="K28">
        <v>2</v>
      </c>
      <c r="L28">
        <v>32000</v>
      </c>
      <c r="M28">
        <v>0.08</v>
      </c>
      <c r="N28">
        <v>58880</v>
      </c>
      <c r="O28" t="s">
        <v>81</v>
      </c>
      <c r="P28" s="4" t="s">
        <v>29</v>
      </c>
      <c r="Q28" s="3">
        <v>45370</v>
      </c>
      <c r="R28" s="4"/>
      <c r="S28" s="15">
        <f>IF(Query1[[#This Row],[Delivery Date]]="", "",Query1[[#This Row],[Delivery Date]]-Query1[[#This Row],[order date]])</f>
        <v>7</v>
      </c>
    </row>
    <row r="29" spans="1:19" x14ac:dyDescent="0.2">
      <c r="A29" t="s">
        <v>201</v>
      </c>
      <c r="B29" s="3">
        <v>45366</v>
      </c>
      <c r="C29" s="4" t="s">
        <v>383</v>
      </c>
      <c r="D29" s="4" t="s">
        <v>384</v>
      </c>
      <c r="E29" s="4" t="s">
        <v>204</v>
      </c>
      <c r="F29" s="4" t="s">
        <v>35</v>
      </c>
      <c r="G29" s="4" t="s">
        <v>326</v>
      </c>
      <c r="H29" s="4" t="s">
        <v>24</v>
      </c>
      <c r="I29" s="4" t="s">
        <v>25</v>
      </c>
      <c r="J29" s="4" t="s">
        <v>74</v>
      </c>
      <c r="K29">
        <v>3</v>
      </c>
      <c r="L29">
        <v>12000</v>
      </c>
      <c r="M29">
        <v>0.1</v>
      </c>
      <c r="N29">
        <v>32400</v>
      </c>
      <c r="O29" t="s">
        <v>28</v>
      </c>
      <c r="P29" s="4" t="s">
        <v>29</v>
      </c>
      <c r="Q29" s="3">
        <v>45372</v>
      </c>
      <c r="R29" s="4"/>
      <c r="S29" s="15">
        <f>IF(Query1[[#This Row],[Delivery Date]]="", "",Query1[[#This Row],[Delivery Date]]-Query1[[#This Row],[order date]])</f>
        <v>6</v>
      </c>
    </row>
    <row r="30" spans="1:19" x14ac:dyDescent="0.2">
      <c r="A30" t="s">
        <v>206</v>
      </c>
      <c r="B30" s="3">
        <v>45369</v>
      </c>
      <c r="C30" s="4" t="s">
        <v>385</v>
      </c>
      <c r="D30" s="4" t="s">
        <v>386</v>
      </c>
      <c r="E30" s="4" t="s">
        <v>209</v>
      </c>
      <c r="F30" s="4" t="s">
        <v>50</v>
      </c>
      <c r="G30" s="4" t="s">
        <v>37</v>
      </c>
      <c r="H30" s="4" t="s">
        <v>38</v>
      </c>
      <c r="I30" s="4" t="s">
        <v>87</v>
      </c>
      <c r="J30" s="4" t="s">
        <v>210</v>
      </c>
      <c r="K30">
        <v>2</v>
      </c>
      <c r="L30">
        <v>2200</v>
      </c>
      <c r="M30">
        <v>0.05</v>
      </c>
      <c r="N30">
        <v>4180</v>
      </c>
      <c r="O30" t="s">
        <v>42</v>
      </c>
      <c r="P30" s="4" t="s">
        <v>99</v>
      </c>
      <c r="Q30" s="3">
        <v>45373</v>
      </c>
      <c r="R30" s="4" t="s">
        <v>387</v>
      </c>
      <c r="S30" s="15">
        <f>IF(Query1[[#This Row],[Delivery Date]]="", "",Query1[[#This Row],[Delivery Date]]-Query1[[#This Row],[order date]])</f>
        <v>4</v>
      </c>
    </row>
    <row r="31" spans="1:19" x14ac:dyDescent="0.2">
      <c r="A31" t="s">
        <v>213</v>
      </c>
      <c r="B31" s="3">
        <v>45371</v>
      </c>
      <c r="C31" s="4" t="s">
        <v>388</v>
      </c>
      <c r="D31" s="4" t="s">
        <v>389</v>
      </c>
      <c r="E31" s="4" t="s">
        <v>216</v>
      </c>
      <c r="F31" s="4" t="s">
        <v>22</v>
      </c>
      <c r="G31" s="4" t="s">
        <v>72</v>
      </c>
      <c r="H31" s="4" t="s">
        <v>73</v>
      </c>
      <c r="I31" s="4" t="s">
        <v>53</v>
      </c>
      <c r="J31" s="4" t="s">
        <v>110</v>
      </c>
      <c r="K31">
        <v>1</v>
      </c>
      <c r="L31">
        <v>28000</v>
      </c>
      <c r="M31">
        <v>0.1</v>
      </c>
      <c r="N31">
        <v>25200</v>
      </c>
      <c r="O31" t="s">
        <v>56</v>
      </c>
      <c r="P31" s="4" t="s">
        <v>29</v>
      </c>
      <c r="Q31" s="3">
        <v>45378</v>
      </c>
      <c r="R31" s="4"/>
      <c r="S31" s="15">
        <f>IF(Query1[[#This Row],[Delivery Date]]="", "",Query1[[#This Row],[Delivery Date]]-Query1[[#This Row],[order date]])</f>
        <v>7</v>
      </c>
    </row>
    <row r="32" spans="1:19" x14ac:dyDescent="0.2">
      <c r="A32" t="s">
        <v>218</v>
      </c>
      <c r="B32" s="3">
        <v>45373</v>
      </c>
      <c r="C32" s="4" t="s">
        <v>390</v>
      </c>
      <c r="D32" s="4" t="s">
        <v>391</v>
      </c>
      <c r="E32" s="4" t="s">
        <v>220</v>
      </c>
      <c r="F32" s="4" t="s">
        <v>70</v>
      </c>
      <c r="G32" s="4" t="s">
        <v>326</v>
      </c>
      <c r="H32" s="4" t="s">
        <v>24</v>
      </c>
      <c r="I32" s="4" t="s">
        <v>25</v>
      </c>
      <c r="J32" s="4" t="s">
        <v>134</v>
      </c>
      <c r="K32">
        <v>5</v>
      </c>
      <c r="L32">
        <v>2500</v>
      </c>
      <c r="M32">
        <v>0</v>
      </c>
      <c r="N32">
        <v>12500</v>
      </c>
      <c r="O32" t="s">
        <v>28</v>
      </c>
      <c r="P32" s="4" t="s">
        <v>29</v>
      </c>
      <c r="Q32" s="3">
        <v>45379</v>
      </c>
      <c r="R32" s="4"/>
      <c r="S32" s="15">
        <f>IF(Query1[[#This Row],[Delivery Date]]="", "",Query1[[#This Row],[Delivery Date]]-Query1[[#This Row],[order date]])</f>
        <v>6</v>
      </c>
    </row>
    <row r="33" spans="1:19" x14ac:dyDescent="0.2">
      <c r="A33" t="s">
        <v>222</v>
      </c>
      <c r="B33" s="3">
        <v>45384</v>
      </c>
      <c r="C33" s="4" t="s">
        <v>392</v>
      </c>
      <c r="D33" s="4" t="s">
        <v>341</v>
      </c>
      <c r="E33" s="4" t="s">
        <v>225</v>
      </c>
      <c r="F33" s="4" t="s">
        <v>22</v>
      </c>
      <c r="G33" s="4" t="s">
        <v>37</v>
      </c>
      <c r="H33" s="4" t="s">
        <v>38</v>
      </c>
      <c r="I33" s="4" t="s">
        <v>62</v>
      </c>
      <c r="J33" s="4" t="s">
        <v>105</v>
      </c>
      <c r="K33">
        <v>1</v>
      </c>
      <c r="L33">
        <v>25000</v>
      </c>
      <c r="M33">
        <v>0.15</v>
      </c>
      <c r="N33">
        <v>21250</v>
      </c>
      <c r="O33" t="s">
        <v>75</v>
      </c>
      <c r="P33" s="4" t="s">
        <v>29</v>
      </c>
      <c r="Q33" s="3">
        <v>45391</v>
      </c>
      <c r="R33" s="4"/>
      <c r="S33" s="15">
        <f>IF(Query1[[#This Row],[Delivery Date]]="", "",Query1[[#This Row],[Delivery Date]]-Query1[[#This Row],[order date]])</f>
        <v>7</v>
      </c>
    </row>
    <row r="34" spans="1:19" x14ac:dyDescent="0.2">
      <c r="A34" t="s">
        <v>227</v>
      </c>
      <c r="B34" s="3">
        <v>45386</v>
      </c>
      <c r="C34" s="4" t="s">
        <v>393</v>
      </c>
      <c r="D34" s="4" t="s">
        <v>394</v>
      </c>
      <c r="E34" s="4" t="s">
        <v>230</v>
      </c>
      <c r="F34" s="4" t="s">
        <v>35</v>
      </c>
      <c r="G34" s="4" t="s">
        <v>72</v>
      </c>
      <c r="H34" s="4" t="s">
        <v>73</v>
      </c>
      <c r="I34" s="4" t="s">
        <v>53</v>
      </c>
      <c r="J34" s="4" t="s">
        <v>359</v>
      </c>
      <c r="K34">
        <v>1</v>
      </c>
      <c r="L34">
        <v>22000</v>
      </c>
      <c r="M34">
        <v>0.05</v>
      </c>
      <c r="N34">
        <v>20900</v>
      </c>
      <c r="O34" t="s">
        <v>42</v>
      </c>
      <c r="P34" s="4" t="s">
        <v>57</v>
      </c>
      <c r="Q34" s="3"/>
      <c r="R34" s="4"/>
      <c r="S34" s="15" t="str">
        <f>IF(Query1[[#This Row],[Delivery Date]]="", "",Query1[[#This Row],[Delivery Date]]-Query1[[#This Row],[order date]])</f>
        <v/>
      </c>
    </row>
    <row r="35" spans="1:19" x14ac:dyDescent="0.2">
      <c r="A35" t="s">
        <v>232</v>
      </c>
      <c r="B35" s="3">
        <v>45389</v>
      </c>
      <c r="C35" s="4" t="s">
        <v>395</v>
      </c>
      <c r="D35" s="4" t="s">
        <v>396</v>
      </c>
      <c r="E35" s="4" t="s">
        <v>235</v>
      </c>
      <c r="F35" s="4" t="s">
        <v>50</v>
      </c>
      <c r="G35" s="4" t="s">
        <v>326</v>
      </c>
      <c r="H35" s="4" t="s">
        <v>24</v>
      </c>
      <c r="I35" s="4" t="s">
        <v>25</v>
      </c>
      <c r="J35" s="4" t="s">
        <v>26</v>
      </c>
      <c r="K35">
        <v>1</v>
      </c>
      <c r="L35">
        <v>45000</v>
      </c>
      <c r="M35">
        <v>0</v>
      </c>
      <c r="N35">
        <v>45000</v>
      </c>
      <c r="O35" t="s">
        <v>28</v>
      </c>
      <c r="P35" s="4" t="s">
        <v>29</v>
      </c>
      <c r="Q35" s="3">
        <v>45396</v>
      </c>
      <c r="R35" s="4"/>
      <c r="S35" s="15">
        <f>IF(Query1[[#This Row],[Delivery Date]]="", "",Query1[[#This Row],[Delivery Date]]-Query1[[#This Row],[order date]])</f>
        <v>7</v>
      </c>
    </row>
    <row r="36" spans="1:19" x14ac:dyDescent="0.2">
      <c r="A36" t="s">
        <v>237</v>
      </c>
      <c r="B36" s="3">
        <v>45391</v>
      </c>
      <c r="C36" s="4" t="s">
        <v>397</v>
      </c>
      <c r="D36" s="4" t="s">
        <v>398</v>
      </c>
      <c r="E36" s="4"/>
      <c r="F36" s="4" t="s">
        <v>22</v>
      </c>
      <c r="G36" s="4" t="s">
        <v>37</v>
      </c>
      <c r="H36" s="4" t="s">
        <v>38</v>
      </c>
      <c r="I36" s="4" t="s">
        <v>87</v>
      </c>
      <c r="J36" s="4" t="s">
        <v>351</v>
      </c>
      <c r="K36">
        <v>8</v>
      </c>
      <c r="L36">
        <v>800</v>
      </c>
      <c r="M36">
        <v>0.2</v>
      </c>
      <c r="N36">
        <v>5120</v>
      </c>
      <c r="O36" t="s">
        <v>42</v>
      </c>
      <c r="P36" s="4" t="s">
        <v>29</v>
      </c>
      <c r="Q36" s="3">
        <v>45397</v>
      </c>
      <c r="R36" s="4" t="s">
        <v>399</v>
      </c>
      <c r="S36" s="15">
        <f>IF(Query1[[#This Row],[Delivery Date]]="", "",Query1[[#This Row],[Delivery Date]]-Query1[[#This Row],[order date]])</f>
        <v>6</v>
      </c>
    </row>
    <row r="37" spans="1:19" x14ac:dyDescent="0.2">
      <c r="A37" t="s">
        <v>242</v>
      </c>
      <c r="B37" s="3">
        <v>45393</v>
      </c>
      <c r="C37" s="4" t="s">
        <v>400</v>
      </c>
      <c r="D37" s="4" t="s">
        <v>401</v>
      </c>
      <c r="E37" s="4" t="s">
        <v>245</v>
      </c>
      <c r="F37" s="4" t="s">
        <v>70</v>
      </c>
      <c r="G37" s="4" t="s">
        <v>72</v>
      </c>
      <c r="H37" s="4" t="s">
        <v>73</v>
      </c>
      <c r="I37" s="4" t="s">
        <v>62</v>
      </c>
      <c r="J37" s="4" t="s">
        <v>63</v>
      </c>
      <c r="K37">
        <v>4</v>
      </c>
      <c r="L37">
        <v>8900</v>
      </c>
      <c r="M37">
        <v>0.1</v>
      </c>
      <c r="N37">
        <v>32040</v>
      </c>
      <c r="O37" t="s">
        <v>81</v>
      </c>
      <c r="P37" s="4" t="s">
        <v>29</v>
      </c>
      <c r="Q37" s="3">
        <v>45400</v>
      </c>
      <c r="R37" s="4"/>
      <c r="S37" s="15">
        <f>IF(Query1[[#This Row],[Delivery Date]]="", "",Query1[[#This Row],[Delivery Date]]-Query1[[#This Row],[order date]])</f>
        <v>7</v>
      </c>
    </row>
    <row r="38" spans="1:19" x14ac:dyDescent="0.2">
      <c r="A38" t="s">
        <v>247</v>
      </c>
      <c r="B38" s="3">
        <v>45397</v>
      </c>
      <c r="C38" s="4" t="s">
        <v>402</v>
      </c>
      <c r="D38" s="4" t="s">
        <v>403</v>
      </c>
      <c r="E38" s="4" t="s">
        <v>249</v>
      </c>
      <c r="F38" s="4" t="s">
        <v>22</v>
      </c>
      <c r="G38" s="4" t="s">
        <v>326</v>
      </c>
      <c r="H38" s="4" t="s">
        <v>24</v>
      </c>
      <c r="I38" s="4" t="s">
        <v>53</v>
      </c>
      <c r="J38" s="4" t="s">
        <v>161</v>
      </c>
      <c r="K38">
        <v>2</v>
      </c>
      <c r="L38">
        <v>8500</v>
      </c>
      <c r="M38">
        <v>0.05</v>
      </c>
      <c r="N38">
        <v>16150</v>
      </c>
      <c r="O38" t="s">
        <v>28</v>
      </c>
      <c r="P38" s="4" t="s">
        <v>29</v>
      </c>
      <c r="Q38" s="3">
        <v>45403</v>
      </c>
      <c r="R38" s="4"/>
      <c r="S38" s="15">
        <f>IF(Query1[[#This Row],[Delivery Date]]="", "",Query1[[#This Row],[Delivery Date]]-Query1[[#This Row],[order date]])</f>
        <v>6</v>
      </c>
    </row>
    <row r="39" spans="1:19" x14ac:dyDescent="0.2">
      <c r="A39" t="s">
        <v>251</v>
      </c>
      <c r="B39" s="3">
        <v>45399</v>
      </c>
      <c r="C39" s="4" t="s">
        <v>404</v>
      </c>
      <c r="D39" s="4" t="s">
        <v>355</v>
      </c>
      <c r="E39" s="4" t="s">
        <v>254</v>
      </c>
      <c r="F39" s="4" t="s">
        <v>35</v>
      </c>
      <c r="G39" s="4" t="s">
        <v>37</v>
      </c>
      <c r="H39" s="4" t="s">
        <v>38</v>
      </c>
      <c r="I39" s="4" t="s">
        <v>25</v>
      </c>
      <c r="J39" s="4" t="s">
        <v>40</v>
      </c>
      <c r="K39">
        <v>1</v>
      </c>
      <c r="L39">
        <v>18500</v>
      </c>
      <c r="M39">
        <v>0</v>
      </c>
      <c r="N39">
        <v>18500</v>
      </c>
      <c r="O39" t="s">
        <v>75</v>
      </c>
      <c r="P39" s="4" t="s">
        <v>99</v>
      </c>
      <c r="Q39" s="3">
        <v>45402</v>
      </c>
      <c r="R39" s="4" t="s">
        <v>405</v>
      </c>
      <c r="S39" s="15">
        <f>IF(Query1[[#This Row],[Delivery Date]]="", "",Query1[[#This Row],[Delivery Date]]-Query1[[#This Row],[order date]])</f>
        <v>3</v>
      </c>
    </row>
    <row r="40" spans="1:19" x14ac:dyDescent="0.2">
      <c r="A40" t="s">
        <v>257</v>
      </c>
      <c r="B40" s="3">
        <v>45401</v>
      </c>
      <c r="C40" s="4" t="s">
        <v>406</v>
      </c>
      <c r="D40" s="4" t="s">
        <v>407</v>
      </c>
      <c r="E40" s="4" t="s">
        <v>260</v>
      </c>
      <c r="F40" s="4" t="s">
        <v>50</v>
      </c>
      <c r="G40" s="4" t="s">
        <v>72</v>
      </c>
      <c r="H40" s="4" t="s">
        <v>73</v>
      </c>
      <c r="I40" s="4" t="s">
        <v>87</v>
      </c>
      <c r="J40" s="4" t="s">
        <v>151</v>
      </c>
      <c r="K40">
        <v>2</v>
      </c>
      <c r="L40">
        <v>1200</v>
      </c>
      <c r="M40">
        <v>0.1</v>
      </c>
      <c r="N40">
        <v>2160</v>
      </c>
      <c r="O40" t="s">
        <v>42</v>
      </c>
      <c r="P40" s="4" t="s">
        <v>29</v>
      </c>
      <c r="Q40" s="3">
        <v>45407</v>
      </c>
      <c r="R40" s="4"/>
      <c r="S40" s="15">
        <f>IF(Query1[[#This Row],[Delivery Date]]="", "",Query1[[#This Row],[Delivery Date]]-Query1[[#This Row],[order date]])</f>
        <v>6</v>
      </c>
    </row>
    <row r="41" spans="1:19" x14ac:dyDescent="0.2">
      <c r="A41" t="s">
        <v>262</v>
      </c>
      <c r="B41" s="3">
        <v>45404</v>
      </c>
      <c r="C41" s="4" t="s">
        <v>408</v>
      </c>
      <c r="D41" s="4" t="s">
        <v>409</v>
      </c>
      <c r="E41" s="4" t="s">
        <v>265</v>
      </c>
      <c r="F41" s="4" t="s">
        <v>22</v>
      </c>
      <c r="G41" s="4" t="s">
        <v>326</v>
      </c>
      <c r="H41" s="4" t="s">
        <v>24</v>
      </c>
      <c r="I41" s="4" t="s">
        <v>53</v>
      </c>
      <c r="J41" s="4" t="s">
        <v>54</v>
      </c>
      <c r="K41">
        <v>2</v>
      </c>
      <c r="L41">
        <v>2500</v>
      </c>
      <c r="M41">
        <v>0</v>
      </c>
      <c r="N41">
        <v>5000</v>
      </c>
      <c r="O41" t="s">
        <v>28</v>
      </c>
      <c r="P41" s="4" t="s">
        <v>29</v>
      </c>
      <c r="Q41" s="3">
        <v>45410</v>
      </c>
      <c r="R41" s="4"/>
      <c r="S41" s="15">
        <f>IF(Query1[[#This Row],[Delivery Date]]="", "",Query1[[#This Row],[Delivery Date]]-Query1[[#This Row],[order date]])</f>
        <v>6</v>
      </c>
    </row>
    <row r="42" spans="1:19" x14ac:dyDescent="0.2">
      <c r="A42" t="s">
        <v>267</v>
      </c>
      <c r="B42" s="3">
        <v>45407</v>
      </c>
      <c r="C42" s="4" t="s">
        <v>340</v>
      </c>
      <c r="D42" s="4" t="s">
        <v>328</v>
      </c>
      <c r="E42" s="4" t="s">
        <v>269</v>
      </c>
      <c r="F42" s="4" t="s">
        <v>70</v>
      </c>
      <c r="G42" s="4" t="s">
        <v>37</v>
      </c>
      <c r="H42" s="4" t="s">
        <v>38</v>
      </c>
      <c r="I42" s="4" t="s">
        <v>25</v>
      </c>
      <c r="J42" s="4" t="s">
        <v>348</v>
      </c>
      <c r="K42">
        <v>1</v>
      </c>
      <c r="L42">
        <v>35000</v>
      </c>
      <c r="M42">
        <v>0.08</v>
      </c>
      <c r="N42">
        <v>32200</v>
      </c>
      <c r="O42" t="s">
        <v>56</v>
      </c>
      <c r="P42" s="4" t="s">
        <v>76</v>
      </c>
      <c r="Q42" s="3"/>
      <c r="R42" s="4" t="s">
        <v>410</v>
      </c>
      <c r="S42" s="15" t="str">
        <f>IF(Query1[[#This Row],[Delivery Date]]="", "",Query1[[#This Row],[Delivery Date]]-Query1[[#This Row],[order date]])</f>
        <v/>
      </c>
    </row>
    <row r="43" spans="1:19" x14ac:dyDescent="0.2">
      <c r="A43" t="s">
        <v>271</v>
      </c>
      <c r="B43" s="3">
        <v>45414</v>
      </c>
      <c r="C43" s="4" t="s">
        <v>411</v>
      </c>
      <c r="D43" s="4" t="s">
        <v>412</v>
      </c>
      <c r="E43" s="4" t="s">
        <v>274</v>
      </c>
      <c r="F43" s="4" t="s">
        <v>22</v>
      </c>
      <c r="G43" s="4" t="s">
        <v>72</v>
      </c>
      <c r="H43" s="4" t="s">
        <v>73</v>
      </c>
      <c r="I43" s="4" t="s">
        <v>62</v>
      </c>
      <c r="J43" s="4" t="s">
        <v>156</v>
      </c>
      <c r="K43">
        <v>3</v>
      </c>
      <c r="L43">
        <v>6500</v>
      </c>
      <c r="M43">
        <v>0.05</v>
      </c>
      <c r="N43">
        <v>18525</v>
      </c>
      <c r="O43" t="s">
        <v>42</v>
      </c>
      <c r="P43" s="4" t="s">
        <v>29</v>
      </c>
      <c r="Q43" s="3">
        <v>45421</v>
      </c>
      <c r="R43" s="4"/>
      <c r="S43" s="15">
        <f>IF(Query1[[#This Row],[Delivery Date]]="", "",Query1[[#This Row],[Delivery Date]]-Query1[[#This Row],[order date]])</f>
        <v>7</v>
      </c>
    </row>
    <row r="44" spans="1:19" x14ac:dyDescent="0.2">
      <c r="A44" t="s">
        <v>276</v>
      </c>
      <c r="B44" s="3">
        <v>45417</v>
      </c>
      <c r="C44" s="4" t="s">
        <v>413</v>
      </c>
      <c r="D44" s="4" t="s">
        <v>414</v>
      </c>
      <c r="E44" s="4" t="s">
        <v>279</v>
      </c>
      <c r="F44" s="4" t="s">
        <v>35</v>
      </c>
      <c r="G44" s="4" t="s">
        <v>326</v>
      </c>
      <c r="H44" s="4" t="s">
        <v>24</v>
      </c>
      <c r="I44" s="4" t="s">
        <v>25</v>
      </c>
      <c r="J44" s="4" t="s">
        <v>74</v>
      </c>
      <c r="K44">
        <v>2</v>
      </c>
      <c r="L44">
        <v>12000</v>
      </c>
      <c r="M44">
        <v>0.15</v>
      </c>
      <c r="N44">
        <v>20400</v>
      </c>
      <c r="O44" t="s">
        <v>28</v>
      </c>
      <c r="P44" s="4" t="s">
        <v>29</v>
      </c>
      <c r="Q44" s="3">
        <v>45423</v>
      </c>
      <c r="R44" s="4"/>
      <c r="S44" s="15">
        <f>IF(Query1[[#This Row],[Delivery Date]]="", "",Query1[[#This Row],[Delivery Date]]-Query1[[#This Row],[order date]])</f>
        <v>6</v>
      </c>
    </row>
    <row r="45" spans="1:19" x14ac:dyDescent="0.2">
      <c r="A45" t="s">
        <v>281</v>
      </c>
      <c r="B45" s="3">
        <v>45419</v>
      </c>
      <c r="C45" s="4" t="s">
        <v>415</v>
      </c>
      <c r="D45" s="4" t="s">
        <v>416</v>
      </c>
      <c r="E45" s="4" t="s">
        <v>284</v>
      </c>
      <c r="F45" s="4" t="s">
        <v>50</v>
      </c>
      <c r="G45" s="4" t="s">
        <v>37</v>
      </c>
      <c r="H45" s="4" t="s">
        <v>38</v>
      </c>
      <c r="I45" s="4" t="s">
        <v>53</v>
      </c>
      <c r="J45" s="4" t="s">
        <v>80</v>
      </c>
      <c r="K45">
        <v>1</v>
      </c>
      <c r="L45">
        <v>32000</v>
      </c>
      <c r="M45">
        <v>0</v>
      </c>
      <c r="N45">
        <v>32000</v>
      </c>
      <c r="O45" t="s">
        <v>81</v>
      </c>
      <c r="P45" s="4" t="s">
        <v>57</v>
      </c>
      <c r="Q45" s="3"/>
      <c r="R45" s="4"/>
      <c r="S45" s="15" t="str">
        <f>IF(Query1[[#This Row],[Delivery Date]]="", "",Query1[[#This Row],[Delivery Date]]-Query1[[#This Row],[order date]])</f>
        <v/>
      </c>
    </row>
    <row r="46" spans="1:19" x14ac:dyDescent="0.2">
      <c r="A46" t="s">
        <v>286</v>
      </c>
      <c r="B46" s="3">
        <v>45421</v>
      </c>
      <c r="C46" s="4" t="s">
        <v>417</v>
      </c>
      <c r="D46" s="4" t="s">
        <v>418</v>
      </c>
      <c r="E46" s="4"/>
      <c r="F46" s="4" t="s">
        <v>22</v>
      </c>
      <c r="G46" s="4" t="s">
        <v>72</v>
      </c>
      <c r="H46" s="4" t="s">
        <v>73</v>
      </c>
      <c r="I46" s="4" t="s">
        <v>87</v>
      </c>
      <c r="J46" s="4" t="s">
        <v>189</v>
      </c>
      <c r="K46">
        <v>4</v>
      </c>
      <c r="L46">
        <v>1500</v>
      </c>
      <c r="M46">
        <v>0.1</v>
      </c>
      <c r="N46">
        <v>5400</v>
      </c>
      <c r="O46" t="s">
        <v>42</v>
      </c>
      <c r="P46" s="4" t="s">
        <v>29</v>
      </c>
      <c r="Q46" s="3">
        <v>45427</v>
      </c>
      <c r="R46" s="4"/>
      <c r="S46" s="15">
        <f>IF(Query1[[#This Row],[Delivery Date]]="", "",Query1[[#This Row],[Delivery Date]]-Query1[[#This Row],[order date]])</f>
        <v>6</v>
      </c>
    </row>
    <row r="47" spans="1:19" x14ac:dyDescent="0.2">
      <c r="A47" t="s">
        <v>290</v>
      </c>
      <c r="B47" s="3">
        <v>45424</v>
      </c>
      <c r="C47" s="4" t="s">
        <v>419</v>
      </c>
      <c r="D47" s="4" t="s">
        <v>420</v>
      </c>
      <c r="E47" s="4" t="s">
        <v>293</v>
      </c>
      <c r="F47" s="4" t="s">
        <v>70</v>
      </c>
      <c r="G47" s="4" t="s">
        <v>326</v>
      </c>
      <c r="H47" s="4" t="s">
        <v>24</v>
      </c>
      <c r="I47" s="4" t="s">
        <v>25</v>
      </c>
      <c r="J47" s="4" t="s">
        <v>134</v>
      </c>
      <c r="K47">
        <v>6</v>
      </c>
      <c r="L47">
        <v>2500</v>
      </c>
      <c r="M47">
        <v>0</v>
      </c>
      <c r="N47">
        <v>15000</v>
      </c>
      <c r="O47" t="s">
        <v>28</v>
      </c>
      <c r="P47" s="4" t="s">
        <v>29</v>
      </c>
      <c r="Q47" s="3">
        <v>45430</v>
      </c>
      <c r="R47" s="4" t="s">
        <v>421</v>
      </c>
      <c r="S47" s="15">
        <f>IF(Query1[[#This Row],[Delivery Date]]="", "",Query1[[#This Row],[Delivery Date]]-Query1[[#This Row],[order date]])</f>
        <v>6</v>
      </c>
    </row>
    <row r="48" spans="1:19" x14ac:dyDescent="0.2">
      <c r="A48" t="s">
        <v>296</v>
      </c>
      <c r="B48" s="3">
        <v>45427</v>
      </c>
      <c r="C48" s="4" t="s">
        <v>372</v>
      </c>
      <c r="D48" s="4" t="s">
        <v>325</v>
      </c>
      <c r="E48" s="4" t="s">
        <v>298</v>
      </c>
      <c r="F48" s="4" t="s">
        <v>22</v>
      </c>
      <c r="G48" s="4" t="s">
        <v>37</v>
      </c>
      <c r="H48" s="4" t="s">
        <v>38</v>
      </c>
      <c r="I48" s="4" t="s">
        <v>62</v>
      </c>
      <c r="J48" s="4" t="s">
        <v>129</v>
      </c>
      <c r="K48">
        <v>1</v>
      </c>
      <c r="L48">
        <v>15000</v>
      </c>
      <c r="M48">
        <v>0.1</v>
      </c>
      <c r="N48">
        <v>13500</v>
      </c>
      <c r="O48" t="s">
        <v>75</v>
      </c>
      <c r="P48" s="4" t="s">
        <v>29</v>
      </c>
      <c r="Q48" s="3">
        <v>45434</v>
      </c>
      <c r="R48" s="4"/>
      <c r="S48" s="15">
        <f>IF(Query1[[#This Row],[Delivery Date]]="", "",Query1[[#This Row],[Delivery Date]]-Query1[[#This Row],[order date]])</f>
        <v>7</v>
      </c>
    </row>
    <row r="49" spans="1:19" x14ac:dyDescent="0.2">
      <c r="A49" t="s">
        <v>300</v>
      </c>
      <c r="B49" s="3">
        <v>45430</v>
      </c>
      <c r="C49" s="4" t="s">
        <v>422</v>
      </c>
      <c r="D49" s="4" t="s">
        <v>328</v>
      </c>
      <c r="E49" s="4" t="s">
        <v>303</v>
      </c>
      <c r="F49" s="4" t="s">
        <v>35</v>
      </c>
      <c r="G49" s="4" t="s">
        <v>72</v>
      </c>
      <c r="H49" s="4" t="s">
        <v>73</v>
      </c>
      <c r="I49" s="4" t="s">
        <v>53</v>
      </c>
      <c r="J49" s="4" t="s">
        <v>110</v>
      </c>
      <c r="K49">
        <v>1</v>
      </c>
      <c r="L49">
        <v>28000</v>
      </c>
      <c r="M49">
        <v>0.05</v>
      </c>
      <c r="N49">
        <v>26600</v>
      </c>
      <c r="O49" t="s">
        <v>56</v>
      </c>
      <c r="P49" s="4" t="s">
        <v>29</v>
      </c>
      <c r="Q49" s="3">
        <v>45436</v>
      </c>
      <c r="R49" s="4"/>
      <c r="S49" s="15">
        <f>IF(Query1[[#This Row],[Delivery Date]]="", "",Query1[[#This Row],[Delivery Date]]-Query1[[#This Row],[order date]])</f>
        <v>6</v>
      </c>
    </row>
    <row r="50" spans="1:19" x14ac:dyDescent="0.2">
      <c r="A50" t="s">
        <v>305</v>
      </c>
      <c r="B50" s="3">
        <v>45432</v>
      </c>
      <c r="C50" s="4" t="s">
        <v>423</v>
      </c>
      <c r="D50" s="4" t="s">
        <v>361</v>
      </c>
      <c r="E50" s="4" t="s">
        <v>308</v>
      </c>
      <c r="F50" s="4" t="s">
        <v>50</v>
      </c>
      <c r="G50" s="4" t="s">
        <v>326</v>
      </c>
      <c r="H50" s="4" t="s">
        <v>24</v>
      </c>
      <c r="I50" s="4" t="s">
        <v>25</v>
      </c>
      <c r="J50" s="4" t="s">
        <v>26</v>
      </c>
      <c r="K50">
        <v>2</v>
      </c>
      <c r="L50">
        <v>45000</v>
      </c>
      <c r="M50">
        <v>0.1</v>
      </c>
      <c r="N50">
        <v>81000</v>
      </c>
      <c r="O50" t="s">
        <v>28</v>
      </c>
      <c r="P50" s="4" t="s">
        <v>29</v>
      </c>
      <c r="Q50" s="3">
        <v>45439</v>
      </c>
      <c r="R50" s="4"/>
      <c r="S50" s="15">
        <f>IF(Query1[[#This Row],[Delivery Date]]="", "",Query1[[#This Row],[Delivery Date]]-Query1[[#This Row],[order date]])</f>
        <v>7</v>
      </c>
    </row>
    <row r="51" spans="1:19" x14ac:dyDescent="0.2">
      <c r="A51" t="s">
        <v>310</v>
      </c>
      <c r="B51" s="3">
        <v>45434</v>
      </c>
      <c r="C51" s="4" t="s">
        <v>424</v>
      </c>
      <c r="D51" s="4" t="s">
        <v>401</v>
      </c>
      <c r="E51" s="4" t="s">
        <v>313</v>
      </c>
      <c r="F51" s="4" t="s">
        <v>22</v>
      </c>
      <c r="G51" s="4" t="s">
        <v>37</v>
      </c>
      <c r="H51" s="4" t="s">
        <v>38</v>
      </c>
      <c r="I51" s="4" t="s">
        <v>87</v>
      </c>
      <c r="J51" s="4" t="s">
        <v>88</v>
      </c>
      <c r="K51">
        <v>15</v>
      </c>
      <c r="L51">
        <v>500</v>
      </c>
      <c r="M51">
        <v>0.25</v>
      </c>
      <c r="N51">
        <v>5625</v>
      </c>
      <c r="O51" t="s">
        <v>42</v>
      </c>
      <c r="P51" s="4" t="s">
        <v>29</v>
      </c>
      <c r="Q51" s="3">
        <v>45440</v>
      </c>
      <c r="R51" s="4" t="s">
        <v>425</v>
      </c>
      <c r="S51" s="15">
        <f>IF(Query1[[#This Row],[Delivery Date]]="", "",Query1[[#This Row],[Delivery Date]]-Query1[[#This Row],[order date]])</f>
        <v>6</v>
      </c>
    </row>
    <row r="52" spans="1:19" x14ac:dyDescent="0.2">
      <c r="A52" t="s">
        <v>317</v>
      </c>
      <c r="B52" s="3">
        <v>45437</v>
      </c>
      <c r="C52" s="4" t="s">
        <v>426</v>
      </c>
      <c r="D52" s="4" t="s">
        <v>427</v>
      </c>
      <c r="E52" s="4" t="s">
        <v>320</v>
      </c>
      <c r="F52" s="4" t="s">
        <v>70</v>
      </c>
      <c r="G52" s="4" t="s">
        <v>72</v>
      </c>
      <c r="H52" s="4" t="s">
        <v>73</v>
      </c>
      <c r="I52" s="4" t="s">
        <v>62</v>
      </c>
      <c r="J52" s="4" t="s">
        <v>174</v>
      </c>
      <c r="K52">
        <v>1</v>
      </c>
      <c r="L52">
        <v>18000</v>
      </c>
      <c r="M52">
        <v>0</v>
      </c>
      <c r="N52">
        <v>18000</v>
      </c>
      <c r="O52" t="s">
        <v>81</v>
      </c>
      <c r="P52" s="4" t="s">
        <v>57</v>
      </c>
      <c r="Q52" s="3"/>
      <c r="R52" s="4"/>
      <c r="S52" s="15" t="str">
        <f>IF(Query1[[#This Row],[Delivery Date]]="", "",Query1[[#This Row],[Delivery Date]]-Query1[[#This Row],[order date]])</f>
        <v/>
      </c>
    </row>
  </sheetData>
  <mergeCells count="1">
    <mergeCell ref="A1:Q1"/>
  </mergeCells>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2"/>
  <sheetViews>
    <sheetView tabSelected="1" workbookViewId="0">
      <pane ySplit="2" topLeftCell="A3" activePane="bottomLeft" state="frozen"/>
      <selection pane="bottomLeft" activeCell="R20" sqref="R20"/>
    </sheetView>
  </sheetViews>
  <sheetFormatPr baseColWidth="10" defaultColWidth="8.83203125" defaultRowHeight="15" x14ac:dyDescent="0.2"/>
  <cols>
    <col min="1" max="1" width="12" customWidth="1"/>
    <col min="2" max="2" width="18" customWidth="1"/>
    <col min="3" max="3" width="22" customWidth="1"/>
    <col min="4" max="4" width="28" customWidth="1"/>
    <col min="5" max="6" width="12" customWidth="1"/>
    <col min="7" max="7" width="18" customWidth="1"/>
    <col min="8" max="8" width="14" customWidth="1"/>
    <col min="9" max="10" width="20" customWidth="1"/>
    <col min="11" max="11" width="11.1640625" customWidth="1"/>
    <col min="12" max="12" width="17.5" customWidth="1"/>
    <col min="13" max="13" width="13.1640625" customWidth="1"/>
    <col min="14" max="14" width="14" customWidth="1"/>
    <col min="15" max="15" width="18.33203125" customWidth="1"/>
    <col min="16" max="16" width="12" customWidth="1"/>
    <col min="17" max="17" width="15" customWidth="1"/>
    <col min="18" max="18" width="25" customWidth="1"/>
  </cols>
  <sheetData>
    <row r="1" spans="1:18" ht="34" x14ac:dyDescent="0.2">
      <c r="A1" s="18" t="s">
        <v>461</v>
      </c>
      <c r="B1" s="19"/>
      <c r="C1" s="19"/>
      <c r="D1" s="19"/>
      <c r="E1" s="19"/>
      <c r="F1" s="19"/>
      <c r="G1" s="19"/>
      <c r="H1" s="19"/>
      <c r="I1" s="19"/>
      <c r="J1" s="19"/>
      <c r="K1" s="19"/>
      <c r="L1" s="19"/>
      <c r="M1" s="19"/>
      <c r="N1" s="19"/>
      <c r="O1" s="19"/>
      <c r="P1" s="19"/>
      <c r="Q1" s="19"/>
    </row>
    <row r="2" spans="1:18" x14ac:dyDescent="0.2">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row>
    <row r="3" spans="1:18" x14ac:dyDescent="0.2">
      <c r="A3" t="s">
        <v>18</v>
      </c>
      <c r="B3" t="s">
        <v>19</v>
      </c>
      <c r="C3" t="s">
        <v>20</v>
      </c>
      <c r="D3" t="s">
        <v>21</v>
      </c>
      <c r="E3" t="s">
        <v>22</v>
      </c>
      <c r="F3" t="s">
        <v>22</v>
      </c>
      <c r="G3" t="s">
        <v>23</v>
      </c>
      <c r="H3" t="s">
        <v>24</v>
      </c>
      <c r="I3" t="s">
        <v>25</v>
      </c>
      <c r="J3" t="s">
        <v>26</v>
      </c>
      <c r="K3">
        <v>2</v>
      </c>
      <c r="L3">
        <v>45000</v>
      </c>
      <c r="M3" t="s">
        <v>27</v>
      </c>
      <c r="N3">
        <v>81000</v>
      </c>
      <c r="O3" t="s">
        <v>28</v>
      </c>
      <c r="P3" t="s">
        <v>29</v>
      </c>
      <c r="Q3" t="s">
        <v>30</v>
      </c>
    </row>
    <row r="4" spans="1:18" x14ac:dyDescent="0.2">
      <c r="A4" t="s">
        <v>31</v>
      </c>
      <c r="B4" t="s">
        <v>32</v>
      </c>
      <c r="C4" t="s">
        <v>33</v>
      </c>
      <c r="D4" t="s">
        <v>34</v>
      </c>
      <c r="E4" t="s">
        <v>35</v>
      </c>
      <c r="F4" t="s">
        <v>36</v>
      </c>
      <c r="G4" t="s">
        <v>37</v>
      </c>
      <c r="H4" t="s">
        <v>38</v>
      </c>
      <c r="I4" t="s">
        <v>39</v>
      </c>
      <c r="J4" t="s">
        <v>40</v>
      </c>
      <c r="K4">
        <v>1</v>
      </c>
      <c r="L4">
        <v>18500</v>
      </c>
      <c r="M4" t="s">
        <v>41</v>
      </c>
      <c r="N4">
        <v>17575</v>
      </c>
      <c r="O4" t="s">
        <v>42</v>
      </c>
      <c r="P4" t="s">
        <v>43</v>
      </c>
      <c r="Q4" t="s">
        <v>44</v>
      </c>
      <c r="R4" t="s">
        <v>45</v>
      </c>
    </row>
    <row r="5" spans="1:18" x14ac:dyDescent="0.2">
      <c r="A5" t="s">
        <v>46</v>
      </c>
      <c r="B5" t="s">
        <v>47</v>
      </c>
      <c r="C5" t="s">
        <v>48</v>
      </c>
      <c r="D5" t="s">
        <v>49</v>
      </c>
      <c r="E5" t="s">
        <v>50</v>
      </c>
      <c r="F5" t="s">
        <v>51</v>
      </c>
      <c r="G5" t="s">
        <v>23</v>
      </c>
      <c r="H5" t="s">
        <v>52</v>
      </c>
      <c r="I5" t="s">
        <v>53</v>
      </c>
      <c r="J5" t="s">
        <v>54</v>
      </c>
      <c r="K5">
        <v>3</v>
      </c>
      <c r="L5">
        <v>2500</v>
      </c>
      <c r="M5" t="s">
        <v>55</v>
      </c>
      <c r="N5">
        <v>7500</v>
      </c>
      <c r="O5" t="s">
        <v>56</v>
      </c>
      <c r="P5" t="s">
        <v>57</v>
      </c>
      <c r="R5" t="s">
        <v>58</v>
      </c>
    </row>
    <row r="6" spans="1:18" x14ac:dyDescent="0.2">
      <c r="A6" t="s">
        <v>59</v>
      </c>
      <c r="B6" t="s">
        <v>60</v>
      </c>
      <c r="C6" t="s">
        <v>61</v>
      </c>
      <c r="E6" t="s">
        <v>22</v>
      </c>
      <c r="F6" t="s">
        <v>22</v>
      </c>
      <c r="G6" t="s">
        <v>37</v>
      </c>
      <c r="H6" t="s">
        <v>38</v>
      </c>
      <c r="I6" t="s">
        <v>62</v>
      </c>
      <c r="J6" t="s">
        <v>63</v>
      </c>
      <c r="K6">
        <v>1</v>
      </c>
      <c r="L6">
        <v>8900</v>
      </c>
      <c r="M6" t="s">
        <v>64</v>
      </c>
      <c r="N6">
        <v>7565</v>
      </c>
      <c r="O6" t="s">
        <v>28</v>
      </c>
      <c r="P6" t="s">
        <v>29</v>
      </c>
      <c r="Q6" t="s">
        <v>65</v>
      </c>
    </row>
    <row r="7" spans="1:18" x14ac:dyDescent="0.2">
      <c r="A7" t="s">
        <v>66</v>
      </c>
      <c r="B7" t="s">
        <v>67</v>
      </c>
      <c r="C7" t="s">
        <v>68</v>
      </c>
      <c r="D7" t="s">
        <v>69</v>
      </c>
      <c r="E7" t="s">
        <v>70</v>
      </c>
      <c r="F7" t="s">
        <v>71</v>
      </c>
      <c r="G7" t="s">
        <v>72</v>
      </c>
      <c r="H7" t="s">
        <v>73</v>
      </c>
      <c r="I7" t="s">
        <v>25</v>
      </c>
      <c r="J7" t="s">
        <v>74</v>
      </c>
      <c r="K7">
        <v>2</v>
      </c>
      <c r="L7">
        <v>12000</v>
      </c>
      <c r="M7" t="s">
        <v>27</v>
      </c>
      <c r="N7">
        <v>21600</v>
      </c>
      <c r="O7" t="s">
        <v>75</v>
      </c>
      <c r="P7" t="s">
        <v>76</v>
      </c>
      <c r="Q7" t="s">
        <v>77</v>
      </c>
      <c r="R7" t="s">
        <v>78</v>
      </c>
    </row>
    <row r="8" spans="1:18" x14ac:dyDescent="0.2">
      <c r="A8" t="s">
        <v>79</v>
      </c>
      <c r="B8" t="s">
        <v>65</v>
      </c>
      <c r="C8" t="s">
        <v>20</v>
      </c>
      <c r="D8" t="s">
        <v>21</v>
      </c>
      <c r="E8" t="s">
        <v>22</v>
      </c>
      <c r="F8" t="s">
        <v>22</v>
      </c>
      <c r="G8" t="s">
        <v>23</v>
      </c>
      <c r="H8" t="s">
        <v>24</v>
      </c>
      <c r="I8" t="s">
        <v>53</v>
      </c>
      <c r="J8" t="s">
        <v>80</v>
      </c>
      <c r="K8">
        <v>1</v>
      </c>
      <c r="L8">
        <v>32000</v>
      </c>
      <c r="M8" t="s">
        <v>41</v>
      </c>
      <c r="N8">
        <v>30400</v>
      </c>
      <c r="O8" t="s">
        <v>81</v>
      </c>
      <c r="P8" t="s">
        <v>29</v>
      </c>
      <c r="Q8" t="s">
        <v>82</v>
      </c>
    </row>
    <row r="9" spans="1:18" x14ac:dyDescent="0.2">
      <c r="A9" t="s">
        <v>83</v>
      </c>
      <c r="B9" t="s">
        <v>84</v>
      </c>
      <c r="C9" t="s">
        <v>85</v>
      </c>
      <c r="D9" t="s">
        <v>86</v>
      </c>
      <c r="E9" t="s">
        <v>35</v>
      </c>
      <c r="F9" t="s">
        <v>35</v>
      </c>
      <c r="G9" t="s">
        <v>37</v>
      </c>
      <c r="H9" t="s">
        <v>38</v>
      </c>
      <c r="I9" t="s">
        <v>87</v>
      </c>
      <c r="J9" t="s">
        <v>88</v>
      </c>
      <c r="K9">
        <v>10</v>
      </c>
      <c r="L9">
        <v>500</v>
      </c>
      <c r="M9" t="s">
        <v>89</v>
      </c>
      <c r="N9">
        <v>4000</v>
      </c>
      <c r="O9" t="s">
        <v>42</v>
      </c>
      <c r="P9" t="s">
        <v>29</v>
      </c>
      <c r="Q9" t="s">
        <v>90</v>
      </c>
      <c r="R9" t="s">
        <v>91</v>
      </c>
    </row>
    <row r="10" spans="1:18" x14ac:dyDescent="0.2">
      <c r="A10" t="s">
        <v>92</v>
      </c>
      <c r="B10" t="s">
        <v>93</v>
      </c>
      <c r="C10" t="s">
        <v>94</v>
      </c>
      <c r="D10" t="s">
        <v>95</v>
      </c>
      <c r="E10" t="s">
        <v>50</v>
      </c>
      <c r="F10" t="s">
        <v>96</v>
      </c>
      <c r="G10" t="s">
        <v>72</v>
      </c>
      <c r="H10" t="s">
        <v>73</v>
      </c>
      <c r="I10" t="s">
        <v>25</v>
      </c>
      <c r="J10" t="s">
        <v>97</v>
      </c>
      <c r="K10">
        <v>1</v>
      </c>
      <c r="L10">
        <v>45000</v>
      </c>
      <c r="M10" t="s">
        <v>98</v>
      </c>
      <c r="N10">
        <v>45000</v>
      </c>
      <c r="O10" t="s">
        <v>28</v>
      </c>
      <c r="P10" t="s">
        <v>99</v>
      </c>
      <c r="Q10" t="s">
        <v>100</v>
      </c>
      <c r="R10" t="s">
        <v>101</v>
      </c>
    </row>
    <row r="11" spans="1:18" x14ac:dyDescent="0.2">
      <c r="A11" t="s">
        <v>102</v>
      </c>
      <c r="B11" t="s">
        <v>82</v>
      </c>
      <c r="C11" t="s">
        <v>103</v>
      </c>
      <c r="D11" t="s">
        <v>104</v>
      </c>
      <c r="E11" t="s">
        <v>22</v>
      </c>
      <c r="F11" t="s">
        <v>22</v>
      </c>
      <c r="G11" t="s">
        <v>23</v>
      </c>
      <c r="H11" t="s">
        <v>24</v>
      </c>
      <c r="I11" t="s">
        <v>62</v>
      </c>
      <c r="J11" t="s">
        <v>105</v>
      </c>
      <c r="K11">
        <v>1</v>
      </c>
      <c r="L11">
        <v>25000</v>
      </c>
      <c r="M11" t="s">
        <v>27</v>
      </c>
      <c r="N11">
        <v>22500</v>
      </c>
      <c r="O11" t="s">
        <v>56</v>
      </c>
      <c r="P11" t="s">
        <v>29</v>
      </c>
      <c r="Q11" t="s">
        <v>106</v>
      </c>
    </row>
    <row r="12" spans="1:18" x14ac:dyDescent="0.2">
      <c r="A12" t="s">
        <v>107</v>
      </c>
      <c r="B12" t="s">
        <v>100</v>
      </c>
      <c r="C12" t="s">
        <v>108</v>
      </c>
      <c r="D12" t="s">
        <v>109</v>
      </c>
      <c r="E12" t="s">
        <v>70</v>
      </c>
      <c r="F12" t="s">
        <v>70</v>
      </c>
      <c r="G12" t="s">
        <v>37</v>
      </c>
      <c r="H12" t="s">
        <v>38</v>
      </c>
      <c r="I12" t="s">
        <v>53</v>
      </c>
      <c r="J12" t="s">
        <v>110</v>
      </c>
      <c r="K12">
        <v>1</v>
      </c>
      <c r="L12">
        <v>28000</v>
      </c>
      <c r="M12" t="s">
        <v>41</v>
      </c>
      <c r="N12">
        <v>26600</v>
      </c>
      <c r="O12" t="s">
        <v>81</v>
      </c>
      <c r="P12" t="s">
        <v>57</v>
      </c>
    </row>
    <row r="13" spans="1:18" x14ac:dyDescent="0.2">
      <c r="A13" t="s">
        <v>111</v>
      </c>
      <c r="B13" t="s">
        <v>106</v>
      </c>
      <c r="C13" t="s">
        <v>112</v>
      </c>
      <c r="D13" t="s">
        <v>113</v>
      </c>
      <c r="E13" t="s">
        <v>22</v>
      </c>
      <c r="F13" t="s">
        <v>114</v>
      </c>
      <c r="G13" t="s">
        <v>72</v>
      </c>
      <c r="H13" t="s">
        <v>73</v>
      </c>
      <c r="I13" t="s">
        <v>25</v>
      </c>
      <c r="J13" t="s">
        <v>115</v>
      </c>
      <c r="K13">
        <v>1</v>
      </c>
      <c r="L13">
        <v>35000</v>
      </c>
      <c r="M13" t="s">
        <v>116</v>
      </c>
      <c r="N13">
        <v>32200</v>
      </c>
      <c r="O13" t="s">
        <v>75</v>
      </c>
      <c r="P13" t="s">
        <v>29</v>
      </c>
      <c r="Q13" t="s">
        <v>117</v>
      </c>
    </row>
    <row r="14" spans="1:18" x14ac:dyDescent="0.2">
      <c r="A14" t="s">
        <v>118</v>
      </c>
      <c r="B14" t="s">
        <v>119</v>
      </c>
      <c r="C14" t="s">
        <v>120</v>
      </c>
      <c r="D14" t="s">
        <v>121</v>
      </c>
      <c r="E14" t="s">
        <v>35</v>
      </c>
      <c r="F14" t="s">
        <v>122</v>
      </c>
      <c r="G14" t="s">
        <v>23</v>
      </c>
      <c r="H14" t="s">
        <v>24</v>
      </c>
      <c r="I14" t="s">
        <v>87</v>
      </c>
      <c r="J14" t="s">
        <v>123</v>
      </c>
      <c r="K14">
        <v>5</v>
      </c>
      <c r="L14">
        <v>800</v>
      </c>
      <c r="M14" t="s">
        <v>55</v>
      </c>
      <c r="N14">
        <v>4000</v>
      </c>
      <c r="O14" t="s">
        <v>42</v>
      </c>
      <c r="P14" t="s">
        <v>43</v>
      </c>
      <c r="Q14" t="s">
        <v>124</v>
      </c>
    </row>
    <row r="15" spans="1:18" x14ac:dyDescent="0.2">
      <c r="A15" t="s">
        <v>125</v>
      </c>
      <c r="B15" t="s">
        <v>126</v>
      </c>
      <c r="C15" t="s">
        <v>127</v>
      </c>
      <c r="D15" t="s">
        <v>128</v>
      </c>
      <c r="E15" t="s">
        <v>50</v>
      </c>
      <c r="F15" t="s">
        <v>50</v>
      </c>
      <c r="G15" t="s">
        <v>37</v>
      </c>
      <c r="H15" t="s">
        <v>38</v>
      </c>
      <c r="I15" t="s">
        <v>62</v>
      </c>
      <c r="J15" t="s">
        <v>129</v>
      </c>
      <c r="K15">
        <v>1</v>
      </c>
      <c r="L15">
        <v>15000</v>
      </c>
      <c r="M15" t="s">
        <v>27</v>
      </c>
      <c r="N15">
        <v>13500</v>
      </c>
      <c r="O15" t="s">
        <v>28</v>
      </c>
      <c r="P15" t="s">
        <v>29</v>
      </c>
      <c r="Q15" t="s">
        <v>130</v>
      </c>
    </row>
    <row r="16" spans="1:18" x14ac:dyDescent="0.2">
      <c r="A16" t="s">
        <v>131</v>
      </c>
      <c r="B16" t="s">
        <v>132</v>
      </c>
      <c r="C16" t="s">
        <v>133</v>
      </c>
      <c r="E16" t="s">
        <v>22</v>
      </c>
      <c r="F16" t="s">
        <v>22</v>
      </c>
      <c r="G16" t="s">
        <v>72</v>
      </c>
      <c r="H16" t="s">
        <v>73</v>
      </c>
      <c r="I16" t="s">
        <v>25</v>
      </c>
      <c r="J16" t="s">
        <v>134</v>
      </c>
      <c r="K16">
        <v>3</v>
      </c>
      <c r="L16">
        <v>2500</v>
      </c>
      <c r="M16" t="s">
        <v>41</v>
      </c>
      <c r="N16">
        <v>7125</v>
      </c>
      <c r="O16" t="s">
        <v>42</v>
      </c>
      <c r="P16" t="s">
        <v>29</v>
      </c>
      <c r="Q16" t="s">
        <v>135</v>
      </c>
      <c r="R16" t="s">
        <v>136</v>
      </c>
    </row>
    <row r="17" spans="1:18" x14ac:dyDescent="0.2">
      <c r="A17" t="s">
        <v>137</v>
      </c>
      <c r="B17" t="s">
        <v>124</v>
      </c>
      <c r="C17" t="s">
        <v>138</v>
      </c>
      <c r="D17" t="s">
        <v>139</v>
      </c>
      <c r="E17" t="s">
        <v>70</v>
      </c>
      <c r="F17" t="s">
        <v>70</v>
      </c>
      <c r="G17" t="s">
        <v>23</v>
      </c>
      <c r="H17" t="s">
        <v>24</v>
      </c>
      <c r="I17" t="s">
        <v>53</v>
      </c>
      <c r="J17" t="s">
        <v>140</v>
      </c>
      <c r="K17">
        <v>1</v>
      </c>
      <c r="L17">
        <v>22000</v>
      </c>
      <c r="M17" t="s">
        <v>27</v>
      </c>
      <c r="N17">
        <v>19800</v>
      </c>
      <c r="O17" t="s">
        <v>81</v>
      </c>
      <c r="P17" t="s">
        <v>29</v>
      </c>
      <c r="Q17" t="s">
        <v>141</v>
      </c>
    </row>
    <row r="18" spans="1:18" x14ac:dyDescent="0.2">
      <c r="A18" t="s">
        <v>142</v>
      </c>
      <c r="B18" t="s">
        <v>130</v>
      </c>
      <c r="C18" t="s">
        <v>143</v>
      </c>
      <c r="D18" t="s">
        <v>144</v>
      </c>
      <c r="E18" t="s">
        <v>22</v>
      </c>
      <c r="F18" t="s">
        <v>22</v>
      </c>
      <c r="G18" t="s">
        <v>37</v>
      </c>
      <c r="H18" t="s">
        <v>38</v>
      </c>
      <c r="I18" t="s">
        <v>25</v>
      </c>
      <c r="J18" t="s">
        <v>40</v>
      </c>
      <c r="K18">
        <v>2</v>
      </c>
      <c r="L18">
        <v>18500</v>
      </c>
      <c r="M18" t="s">
        <v>98</v>
      </c>
      <c r="N18">
        <v>37000</v>
      </c>
      <c r="O18" t="s">
        <v>28</v>
      </c>
      <c r="P18" t="s">
        <v>29</v>
      </c>
      <c r="Q18" t="s">
        <v>145</v>
      </c>
    </row>
    <row r="19" spans="1:18" x14ac:dyDescent="0.2">
      <c r="A19" t="s">
        <v>146</v>
      </c>
      <c r="B19" t="s">
        <v>147</v>
      </c>
      <c r="C19" t="s">
        <v>148</v>
      </c>
      <c r="D19" t="s">
        <v>149</v>
      </c>
      <c r="E19" t="s">
        <v>35</v>
      </c>
      <c r="F19" t="s">
        <v>36</v>
      </c>
      <c r="G19" t="s">
        <v>72</v>
      </c>
      <c r="H19" t="s">
        <v>150</v>
      </c>
      <c r="I19" t="s">
        <v>87</v>
      </c>
      <c r="J19" t="s">
        <v>151</v>
      </c>
      <c r="K19">
        <v>3</v>
      </c>
      <c r="L19">
        <v>1200</v>
      </c>
      <c r="M19" t="s">
        <v>64</v>
      </c>
      <c r="N19">
        <v>3060</v>
      </c>
      <c r="O19" t="s">
        <v>42</v>
      </c>
      <c r="P19" t="s">
        <v>29</v>
      </c>
      <c r="Q19" t="s">
        <v>152</v>
      </c>
    </row>
    <row r="20" spans="1:18" x14ac:dyDescent="0.2">
      <c r="A20" t="s">
        <v>153</v>
      </c>
      <c r="B20" t="s">
        <v>145</v>
      </c>
      <c r="C20" t="s">
        <v>154</v>
      </c>
      <c r="D20" t="s">
        <v>155</v>
      </c>
      <c r="E20" t="s">
        <v>50</v>
      </c>
      <c r="F20" t="s">
        <v>50</v>
      </c>
      <c r="G20" t="s">
        <v>23</v>
      </c>
      <c r="H20" t="s">
        <v>24</v>
      </c>
      <c r="I20" t="s">
        <v>62</v>
      </c>
      <c r="J20" t="s">
        <v>156</v>
      </c>
      <c r="K20">
        <v>2</v>
      </c>
      <c r="L20">
        <v>6500</v>
      </c>
      <c r="M20" t="s">
        <v>41</v>
      </c>
      <c r="N20">
        <v>12350</v>
      </c>
      <c r="O20" t="s">
        <v>56</v>
      </c>
      <c r="P20" t="s">
        <v>57</v>
      </c>
      <c r="R20" t="s">
        <v>157</v>
      </c>
    </row>
    <row r="21" spans="1:18" x14ac:dyDescent="0.2">
      <c r="A21" t="s">
        <v>158</v>
      </c>
      <c r="B21" t="s">
        <v>152</v>
      </c>
      <c r="C21" t="s">
        <v>159</v>
      </c>
      <c r="D21" t="s">
        <v>160</v>
      </c>
      <c r="E21" t="s">
        <v>22</v>
      </c>
      <c r="F21" t="s">
        <v>22</v>
      </c>
      <c r="G21" t="s">
        <v>37</v>
      </c>
      <c r="H21" t="s">
        <v>38</v>
      </c>
      <c r="I21" t="s">
        <v>53</v>
      </c>
      <c r="J21" t="s">
        <v>161</v>
      </c>
      <c r="K21">
        <v>1</v>
      </c>
      <c r="L21">
        <v>8500</v>
      </c>
      <c r="M21" t="s">
        <v>55</v>
      </c>
      <c r="N21">
        <v>8500</v>
      </c>
      <c r="O21" t="s">
        <v>75</v>
      </c>
      <c r="P21" t="s">
        <v>29</v>
      </c>
      <c r="Q21" t="s">
        <v>162</v>
      </c>
    </row>
    <row r="22" spans="1:18" x14ac:dyDescent="0.2">
      <c r="A22" t="s">
        <v>163</v>
      </c>
      <c r="B22" t="s">
        <v>164</v>
      </c>
      <c r="C22" t="s">
        <v>165</v>
      </c>
      <c r="D22" t="s">
        <v>166</v>
      </c>
      <c r="E22" t="s">
        <v>70</v>
      </c>
      <c r="F22" t="s">
        <v>71</v>
      </c>
      <c r="G22" t="s">
        <v>72</v>
      </c>
      <c r="H22" t="s">
        <v>73</v>
      </c>
      <c r="I22" t="s">
        <v>25</v>
      </c>
      <c r="J22" t="s">
        <v>167</v>
      </c>
      <c r="K22">
        <v>1</v>
      </c>
      <c r="L22">
        <v>45000</v>
      </c>
      <c r="M22" t="s">
        <v>168</v>
      </c>
      <c r="N22">
        <v>39600</v>
      </c>
      <c r="O22" t="s">
        <v>28</v>
      </c>
      <c r="P22" t="s">
        <v>29</v>
      </c>
      <c r="Q22" t="s">
        <v>169</v>
      </c>
    </row>
    <row r="23" spans="1:18" x14ac:dyDescent="0.2">
      <c r="A23" t="s">
        <v>170</v>
      </c>
      <c r="B23" t="s">
        <v>171</v>
      </c>
      <c r="C23" t="s">
        <v>172</v>
      </c>
      <c r="D23" t="s">
        <v>173</v>
      </c>
      <c r="E23" t="s">
        <v>22</v>
      </c>
      <c r="F23" t="s">
        <v>22</v>
      </c>
      <c r="G23" t="s">
        <v>23</v>
      </c>
      <c r="H23" t="s">
        <v>24</v>
      </c>
      <c r="I23" t="s">
        <v>62</v>
      </c>
      <c r="J23" t="s">
        <v>174</v>
      </c>
      <c r="K23">
        <v>1</v>
      </c>
      <c r="L23">
        <v>18000</v>
      </c>
      <c r="M23" t="s">
        <v>27</v>
      </c>
      <c r="N23">
        <v>16200</v>
      </c>
      <c r="O23" t="s">
        <v>81</v>
      </c>
      <c r="P23" t="s">
        <v>29</v>
      </c>
      <c r="Q23" t="s">
        <v>175</v>
      </c>
    </row>
    <row r="24" spans="1:18" x14ac:dyDescent="0.2">
      <c r="A24" t="s">
        <v>176</v>
      </c>
      <c r="B24" t="s">
        <v>177</v>
      </c>
      <c r="C24" t="s">
        <v>178</v>
      </c>
      <c r="D24" t="s">
        <v>179</v>
      </c>
      <c r="E24" t="s">
        <v>35</v>
      </c>
      <c r="F24" t="s">
        <v>35</v>
      </c>
      <c r="G24" t="s">
        <v>37</v>
      </c>
      <c r="H24" t="s">
        <v>38</v>
      </c>
      <c r="I24" t="s">
        <v>53</v>
      </c>
      <c r="J24" t="s">
        <v>54</v>
      </c>
      <c r="K24">
        <v>4</v>
      </c>
      <c r="L24">
        <v>2500</v>
      </c>
      <c r="M24" t="s">
        <v>98</v>
      </c>
      <c r="N24">
        <v>10000</v>
      </c>
      <c r="O24" t="s">
        <v>42</v>
      </c>
      <c r="P24" t="s">
        <v>29</v>
      </c>
      <c r="Q24" t="s">
        <v>180</v>
      </c>
    </row>
    <row r="25" spans="1:18" x14ac:dyDescent="0.2">
      <c r="A25" t="s">
        <v>181</v>
      </c>
      <c r="B25" t="s">
        <v>182</v>
      </c>
      <c r="C25" t="s">
        <v>183</v>
      </c>
      <c r="D25" t="s">
        <v>184</v>
      </c>
      <c r="E25" t="s">
        <v>50</v>
      </c>
      <c r="F25" t="s">
        <v>51</v>
      </c>
      <c r="G25" t="s">
        <v>72</v>
      </c>
      <c r="H25" t="s">
        <v>73</v>
      </c>
      <c r="I25" t="s">
        <v>25</v>
      </c>
      <c r="J25" t="s">
        <v>115</v>
      </c>
      <c r="K25">
        <v>2</v>
      </c>
      <c r="L25">
        <v>35000</v>
      </c>
      <c r="M25" t="s">
        <v>41</v>
      </c>
      <c r="N25">
        <v>66500</v>
      </c>
      <c r="O25" t="s">
        <v>75</v>
      </c>
      <c r="P25" t="s">
        <v>29</v>
      </c>
      <c r="Q25" t="s">
        <v>185</v>
      </c>
    </row>
    <row r="26" spans="1:18" x14ac:dyDescent="0.2">
      <c r="A26" t="s">
        <v>186</v>
      </c>
      <c r="B26" t="s">
        <v>187</v>
      </c>
      <c r="C26" t="s">
        <v>188</v>
      </c>
      <c r="E26" t="s">
        <v>22</v>
      </c>
      <c r="F26" t="s">
        <v>22</v>
      </c>
      <c r="G26" t="s">
        <v>23</v>
      </c>
      <c r="H26" t="s">
        <v>24</v>
      </c>
      <c r="I26" t="s">
        <v>87</v>
      </c>
      <c r="J26" t="s">
        <v>189</v>
      </c>
      <c r="K26">
        <v>6</v>
      </c>
      <c r="L26">
        <v>1500</v>
      </c>
      <c r="M26" t="s">
        <v>27</v>
      </c>
      <c r="N26">
        <v>8100</v>
      </c>
      <c r="O26" t="s">
        <v>28</v>
      </c>
      <c r="P26" t="s">
        <v>76</v>
      </c>
      <c r="Q26" t="s">
        <v>77</v>
      </c>
      <c r="R26" t="s">
        <v>190</v>
      </c>
    </row>
    <row r="27" spans="1:18" x14ac:dyDescent="0.2">
      <c r="A27" t="s">
        <v>191</v>
      </c>
      <c r="B27" t="s">
        <v>192</v>
      </c>
      <c r="C27" t="s">
        <v>193</v>
      </c>
      <c r="D27" t="s">
        <v>194</v>
      </c>
      <c r="E27" t="s">
        <v>70</v>
      </c>
      <c r="F27" t="s">
        <v>70</v>
      </c>
      <c r="G27" t="s">
        <v>37</v>
      </c>
      <c r="H27" t="s">
        <v>38</v>
      </c>
      <c r="I27" t="s">
        <v>62</v>
      </c>
      <c r="J27" t="s">
        <v>195</v>
      </c>
      <c r="K27">
        <v>1</v>
      </c>
      <c r="L27">
        <v>9500</v>
      </c>
      <c r="M27" t="s">
        <v>55</v>
      </c>
      <c r="N27">
        <v>9500</v>
      </c>
      <c r="O27" t="s">
        <v>42</v>
      </c>
      <c r="P27" t="s">
        <v>29</v>
      </c>
      <c r="Q27" t="s">
        <v>196</v>
      </c>
    </row>
    <row r="28" spans="1:18" x14ac:dyDescent="0.2">
      <c r="A28" t="s">
        <v>197</v>
      </c>
      <c r="B28" t="s">
        <v>185</v>
      </c>
      <c r="C28" t="s">
        <v>198</v>
      </c>
      <c r="D28" t="s">
        <v>199</v>
      </c>
      <c r="E28" t="s">
        <v>22</v>
      </c>
      <c r="F28" t="s">
        <v>114</v>
      </c>
      <c r="G28" t="s">
        <v>72</v>
      </c>
      <c r="H28" t="s">
        <v>73</v>
      </c>
      <c r="I28" t="s">
        <v>53</v>
      </c>
      <c r="J28" t="s">
        <v>80</v>
      </c>
      <c r="K28">
        <v>2</v>
      </c>
      <c r="L28">
        <v>32000</v>
      </c>
      <c r="M28" t="s">
        <v>116</v>
      </c>
      <c r="N28">
        <v>58880</v>
      </c>
      <c r="O28" t="s">
        <v>81</v>
      </c>
      <c r="P28" t="s">
        <v>29</v>
      </c>
      <c r="Q28" t="s">
        <v>200</v>
      </c>
    </row>
    <row r="29" spans="1:18" x14ac:dyDescent="0.2">
      <c r="A29" t="s">
        <v>201</v>
      </c>
      <c r="B29" t="s">
        <v>202</v>
      </c>
      <c r="C29" t="s">
        <v>203</v>
      </c>
      <c r="D29" t="s">
        <v>204</v>
      </c>
      <c r="E29" t="s">
        <v>35</v>
      </c>
      <c r="F29" t="s">
        <v>36</v>
      </c>
      <c r="G29" t="s">
        <v>23</v>
      </c>
      <c r="H29" t="s">
        <v>52</v>
      </c>
      <c r="I29" t="s">
        <v>25</v>
      </c>
      <c r="J29" t="s">
        <v>74</v>
      </c>
      <c r="K29">
        <v>3</v>
      </c>
      <c r="L29">
        <v>12000</v>
      </c>
      <c r="M29" t="s">
        <v>27</v>
      </c>
      <c r="N29">
        <v>32400</v>
      </c>
      <c r="O29" t="s">
        <v>28</v>
      </c>
      <c r="P29" t="s">
        <v>29</v>
      </c>
      <c r="Q29" t="s">
        <v>205</v>
      </c>
    </row>
    <row r="30" spans="1:18" x14ac:dyDescent="0.2">
      <c r="A30" t="s">
        <v>206</v>
      </c>
      <c r="B30" t="s">
        <v>207</v>
      </c>
      <c r="C30" t="s">
        <v>208</v>
      </c>
      <c r="D30" t="s">
        <v>209</v>
      </c>
      <c r="E30" t="s">
        <v>50</v>
      </c>
      <c r="F30" t="s">
        <v>50</v>
      </c>
      <c r="G30" t="s">
        <v>37</v>
      </c>
      <c r="H30" t="s">
        <v>38</v>
      </c>
      <c r="I30" t="s">
        <v>87</v>
      </c>
      <c r="J30" t="s">
        <v>210</v>
      </c>
      <c r="K30">
        <v>2</v>
      </c>
      <c r="L30">
        <v>2200</v>
      </c>
      <c r="M30" t="s">
        <v>41</v>
      </c>
      <c r="N30">
        <v>4180</v>
      </c>
      <c r="O30" t="s">
        <v>42</v>
      </c>
      <c r="P30" t="s">
        <v>99</v>
      </c>
      <c r="Q30" t="s">
        <v>211</v>
      </c>
      <c r="R30" t="s">
        <v>212</v>
      </c>
    </row>
    <row r="31" spans="1:18" x14ac:dyDescent="0.2">
      <c r="A31" t="s">
        <v>213</v>
      </c>
      <c r="B31" t="s">
        <v>214</v>
      </c>
      <c r="C31" t="s">
        <v>215</v>
      </c>
      <c r="D31" t="s">
        <v>216</v>
      </c>
      <c r="E31" t="s">
        <v>22</v>
      </c>
      <c r="F31" t="s">
        <v>22</v>
      </c>
      <c r="G31" t="s">
        <v>72</v>
      </c>
      <c r="H31" t="s">
        <v>73</v>
      </c>
      <c r="I31" t="s">
        <v>53</v>
      </c>
      <c r="J31" t="s">
        <v>110</v>
      </c>
      <c r="K31">
        <v>1</v>
      </c>
      <c r="L31">
        <v>28000</v>
      </c>
      <c r="M31" t="s">
        <v>27</v>
      </c>
      <c r="N31">
        <v>25200</v>
      </c>
      <c r="O31" t="s">
        <v>56</v>
      </c>
      <c r="P31" t="s">
        <v>29</v>
      </c>
      <c r="Q31" t="s">
        <v>217</v>
      </c>
    </row>
    <row r="32" spans="1:18" x14ac:dyDescent="0.2">
      <c r="A32" t="s">
        <v>218</v>
      </c>
      <c r="B32" t="s">
        <v>211</v>
      </c>
      <c r="C32" t="s">
        <v>219</v>
      </c>
      <c r="D32" t="s">
        <v>220</v>
      </c>
      <c r="E32" t="s">
        <v>70</v>
      </c>
      <c r="F32" t="s">
        <v>70</v>
      </c>
      <c r="G32" t="s">
        <v>23</v>
      </c>
      <c r="H32" t="s">
        <v>24</v>
      </c>
      <c r="I32" t="s">
        <v>25</v>
      </c>
      <c r="J32" t="s">
        <v>134</v>
      </c>
      <c r="K32">
        <v>5</v>
      </c>
      <c r="L32">
        <v>2500</v>
      </c>
      <c r="M32" t="s">
        <v>98</v>
      </c>
      <c r="N32">
        <v>12500</v>
      </c>
      <c r="O32" t="s">
        <v>28</v>
      </c>
      <c r="P32" t="s">
        <v>29</v>
      </c>
      <c r="Q32" t="s">
        <v>221</v>
      </c>
    </row>
    <row r="33" spans="1:18" x14ac:dyDescent="0.2">
      <c r="A33" t="s">
        <v>222</v>
      </c>
      <c r="B33" t="s">
        <v>223</v>
      </c>
      <c r="C33" t="s">
        <v>224</v>
      </c>
      <c r="D33" t="s">
        <v>225</v>
      </c>
      <c r="E33" t="s">
        <v>22</v>
      </c>
      <c r="F33" t="s">
        <v>22</v>
      </c>
      <c r="G33" t="s">
        <v>37</v>
      </c>
      <c r="H33" t="s">
        <v>38</v>
      </c>
      <c r="I33" t="s">
        <v>62</v>
      </c>
      <c r="J33" t="s">
        <v>105</v>
      </c>
      <c r="K33">
        <v>1</v>
      </c>
      <c r="L33">
        <v>25000</v>
      </c>
      <c r="M33" t="s">
        <v>64</v>
      </c>
      <c r="N33">
        <v>21250</v>
      </c>
      <c r="O33" t="s">
        <v>75</v>
      </c>
      <c r="P33" t="s">
        <v>29</v>
      </c>
      <c r="Q33" t="s">
        <v>226</v>
      </c>
    </row>
    <row r="34" spans="1:18" x14ac:dyDescent="0.2">
      <c r="A34" t="s">
        <v>227</v>
      </c>
      <c r="B34" t="s">
        <v>228</v>
      </c>
      <c r="C34" t="s">
        <v>229</v>
      </c>
      <c r="D34" t="s">
        <v>230</v>
      </c>
      <c r="E34" t="s">
        <v>35</v>
      </c>
      <c r="F34" t="s">
        <v>35</v>
      </c>
      <c r="G34" t="s">
        <v>72</v>
      </c>
      <c r="H34" t="s">
        <v>73</v>
      </c>
      <c r="I34" t="s">
        <v>53</v>
      </c>
      <c r="J34" t="s">
        <v>140</v>
      </c>
      <c r="K34">
        <v>1</v>
      </c>
      <c r="L34">
        <v>22000</v>
      </c>
      <c r="M34" t="s">
        <v>41</v>
      </c>
      <c r="N34">
        <v>20900</v>
      </c>
      <c r="O34" t="s">
        <v>42</v>
      </c>
      <c r="P34" t="s">
        <v>231</v>
      </c>
    </row>
    <row r="35" spans="1:18" x14ac:dyDescent="0.2">
      <c r="A35" t="s">
        <v>232</v>
      </c>
      <c r="B35" t="s">
        <v>233</v>
      </c>
      <c r="C35" t="s">
        <v>234</v>
      </c>
      <c r="D35" t="s">
        <v>235</v>
      </c>
      <c r="E35" t="s">
        <v>50</v>
      </c>
      <c r="F35" t="s">
        <v>96</v>
      </c>
      <c r="G35" t="s">
        <v>23</v>
      </c>
      <c r="H35" t="s">
        <v>24</v>
      </c>
      <c r="I35" t="s">
        <v>25</v>
      </c>
      <c r="J35" t="s">
        <v>97</v>
      </c>
      <c r="K35">
        <v>1</v>
      </c>
      <c r="L35">
        <v>45000</v>
      </c>
      <c r="M35" t="s">
        <v>55</v>
      </c>
      <c r="N35">
        <v>45000</v>
      </c>
      <c r="O35" t="s">
        <v>28</v>
      </c>
      <c r="P35" t="s">
        <v>29</v>
      </c>
      <c r="Q35" t="s">
        <v>236</v>
      </c>
    </row>
    <row r="36" spans="1:18" x14ac:dyDescent="0.2">
      <c r="A36" t="s">
        <v>237</v>
      </c>
      <c r="B36" t="s">
        <v>238</v>
      </c>
      <c r="C36" t="s">
        <v>239</v>
      </c>
      <c r="E36" t="s">
        <v>22</v>
      </c>
      <c r="F36" t="s">
        <v>22</v>
      </c>
      <c r="G36" t="s">
        <v>37</v>
      </c>
      <c r="H36" t="s">
        <v>38</v>
      </c>
      <c r="I36" t="s">
        <v>87</v>
      </c>
      <c r="J36" t="s">
        <v>123</v>
      </c>
      <c r="K36">
        <v>8</v>
      </c>
      <c r="L36">
        <v>800</v>
      </c>
      <c r="M36" t="s">
        <v>89</v>
      </c>
      <c r="N36">
        <v>5120</v>
      </c>
      <c r="O36" t="s">
        <v>42</v>
      </c>
      <c r="P36" t="s">
        <v>29</v>
      </c>
      <c r="Q36" t="s">
        <v>240</v>
      </c>
      <c r="R36" t="s">
        <v>241</v>
      </c>
    </row>
    <row r="37" spans="1:18" x14ac:dyDescent="0.2">
      <c r="A37" t="s">
        <v>242</v>
      </c>
      <c r="B37" t="s">
        <v>243</v>
      </c>
      <c r="C37" t="s">
        <v>244</v>
      </c>
      <c r="D37" t="s">
        <v>245</v>
      </c>
      <c r="E37" t="s">
        <v>70</v>
      </c>
      <c r="F37" t="s">
        <v>70</v>
      </c>
      <c r="G37" t="s">
        <v>72</v>
      </c>
      <c r="H37" t="s">
        <v>73</v>
      </c>
      <c r="I37" t="s">
        <v>62</v>
      </c>
      <c r="J37" t="s">
        <v>63</v>
      </c>
      <c r="K37">
        <v>4</v>
      </c>
      <c r="L37">
        <v>8900</v>
      </c>
      <c r="M37" t="s">
        <v>27</v>
      </c>
      <c r="N37">
        <v>32040</v>
      </c>
      <c r="O37" t="s">
        <v>81</v>
      </c>
      <c r="P37" t="s">
        <v>29</v>
      </c>
      <c r="Q37" t="s">
        <v>246</v>
      </c>
    </row>
    <row r="38" spans="1:18" x14ac:dyDescent="0.2">
      <c r="A38" t="s">
        <v>247</v>
      </c>
      <c r="B38" t="s">
        <v>240</v>
      </c>
      <c r="C38" t="s">
        <v>248</v>
      </c>
      <c r="D38" t="s">
        <v>249</v>
      </c>
      <c r="E38" t="s">
        <v>22</v>
      </c>
      <c r="F38" t="s">
        <v>114</v>
      </c>
      <c r="G38" t="s">
        <v>23</v>
      </c>
      <c r="H38" t="s">
        <v>52</v>
      </c>
      <c r="I38" t="s">
        <v>53</v>
      </c>
      <c r="J38" t="s">
        <v>161</v>
      </c>
      <c r="K38">
        <v>2</v>
      </c>
      <c r="L38">
        <v>8500</v>
      </c>
      <c r="M38" t="s">
        <v>41</v>
      </c>
      <c r="N38">
        <v>16150</v>
      </c>
      <c r="O38" t="s">
        <v>28</v>
      </c>
      <c r="P38" t="s">
        <v>29</v>
      </c>
      <c r="Q38" t="s">
        <v>250</v>
      </c>
    </row>
    <row r="39" spans="1:18" x14ac:dyDescent="0.2">
      <c r="A39" t="s">
        <v>251</v>
      </c>
      <c r="B39" t="s">
        <v>252</v>
      </c>
      <c r="C39" t="s">
        <v>253</v>
      </c>
      <c r="D39" t="s">
        <v>254</v>
      </c>
      <c r="E39" t="s">
        <v>35</v>
      </c>
      <c r="F39" t="s">
        <v>122</v>
      </c>
      <c r="G39" t="s">
        <v>37</v>
      </c>
      <c r="H39" t="s">
        <v>38</v>
      </c>
      <c r="I39" t="s">
        <v>25</v>
      </c>
      <c r="J39" t="s">
        <v>40</v>
      </c>
      <c r="K39">
        <v>1</v>
      </c>
      <c r="L39">
        <v>18500</v>
      </c>
      <c r="M39" t="s">
        <v>98</v>
      </c>
      <c r="N39">
        <v>18500</v>
      </c>
      <c r="O39" t="s">
        <v>75</v>
      </c>
      <c r="P39" t="s">
        <v>99</v>
      </c>
      <c r="Q39" t="s">
        <v>255</v>
      </c>
      <c r="R39" t="s">
        <v>256</v>
      </c>
    </row>
    <row r="40" spans="1:18" x14ac:dyDescent="0.2">
      <c r="A40" t="s">
        <v>257</v>
      </c>
      <c r="B40" t="s">
        <v>258</v>
      </c>
      <c r="C40" t="s">
        <v>259</v>
      </c>
      <c r="D40" t="s">
        <v>260</v>
      </c>
      <c r="E40" t="s">
        <v>50</v>
      </c>
      <c r="F40" t="s">
        <v>50</v>
      </c>
      <c r="G40" t="s">
        <v>72</v>
      </c>
      <c r="H40" t="s">
        <v>73</v>
      </c>
      <c r="I40" t="s">
        <v>87</v>
      </c>
      <c r="J40" t="s">
        <v>151</v>
      </c>
      <c r="K40">
        <v>2</v>
      </c>
      <c r="L40">
        <v>1200</v>
      </c>
      <c r="M40" t="s">
        <v>27</v>
      </c>
      <c r="N40">
        <v>2160</v>
      </c>
      <c r="O40" t="s">
        <v>42</v>
      </c>
      <c r="P40" t="s">
        <v>29</v>
      </c>
      <c r="Q40" t="s">
        <v>261</v>
      </c>
    </row>
    <row r="41" spans="1:18" x14ac:dyDescent="0.2">
      <c r="A41" t="s">
        <v>262</v>
      </c>
      <c r="B41" t="s">
        <v>263</v>
      </c>
      <c r="C41" t="s">
        <v>264</v>
      </c>
      <c r="D41" t="s">
        <v>265</v>
      </c>
      <c r="E41" t="s">
        <v>22</v>
      </c>
      <c r="F41" t="s">
        <v>22</v>
      </c>
      <c r="G41" t="s">
        <v>23</v>
      </c>
      <c r="H41" t="s">
        <v>24</v>
      </c>
      <c r="I41" t="s">
        <v>53</v>
      </c>
      <c r="J41" t="s">
        <v>54</v>
      </c>
      <c r="K41">
        <v>2</v>
      </c>
      <c r="L41">
        <v>2500</v>
      </c>
      <c r="M41" t="s">
        <v>55</v>
      </c>
      <c r="N41">
        <v>5000</v>
      </c>
      <c r="O41" t="s">
        <v>28</v>
      </c>
      <c r="P41" t="s">
        <v>29</v>
      </c>
      <c r="Q41" t="s">
        <v>266</v>
      </c>
    </row>
    <row r="42" spans="1:18" x14ac:dyDescent="0.2">
      <c r="A42" t="s">
        <v>267</v>
      </c>
      <c r="B42" t="s">
        <v>261</v>
      </c>
      <c r="C42" t="s">
        <v>268</v>
      </c>
      <c r="D42" t="s">
        <v>269</v>
      </c>
      <c r="E42" t="s">
        <v>70</v>
      </c>
      <c r="F42" t="s">
        <v>71</v>
      </c>
      <c r="G42" t="s">
        <v>37</v>
      </c>
      <c r="H42" t="s">
        <v>38</v>
      </c>
      <c r="I42" t="s">
        <v>25</v>
      </c>
      <c r="J42" t="s">
        <v>115</v>
      </c>
      <c r="K42">
        <v>1</v>
      </c>
      <c r="L42">
        <v>35000</v>
      </c>
      <c r="M42" t="s">
        <v>116</v>
      </c>
      <c r="N42">
        <v>32200</v>
      </c>
      <c r="O42" t="s">
        <v>56</v>
      </c>
      <c r="P42" t="s">
        <v>76</v>
      </c>
      <c r="Q42" t="s">
        <v>77</v>
      </c>
      <c r="R42" t="s">
        <v>270</v>
      </c>
    </row>
    <row r="43" spans="1:18" x14ac:dyDescent="0.2">
      <c r="A43" t="s">
        <v>271</v>
      </c>
      <c r="B43" t="s">
        <v>272</v>
      </c>
      <c r="C43" t="s">
        <v>273</v>
      </c>
      <c r="D43" t="s">
        <v>274</v>
      </c>
      <c r="E43" t="s">
        <v>22</v>
      </c>
      <c r="F43" t="s">
        <v>22</v>
      </c>
      <c r="G43" t="s">
        <v>72</v>
      </c>
      <c r="H43" t="s">
        <v>73</v>
      </c>
      <c r="I43" t="s">
        <v>62</v>
      </c>
      <c r="J43" t="s">
        <v>156</v>
      </c>
      <c r="K43">
        <v>3</v>
      </c>
      <c r="L43">
        <v>6500</v>
      </c>
      <c r="M43" t="s">
        <v>41</v>
      </c>
      <c r="N43">
        <v>18525</v>
      </c>
      <c r="O43" t="s">
        <v>42</v>
      </c>
      <c r="P43" t="s">
        <v>29</v>
      </c>
      <c r="Q43" t="s">
        <v>275</v>
      </c>
    </row>
    <row r="44" spans="1:18" x14ac:dyDescent="0.2">
      <c r="A44" t="s">
        <v>276</v>
      </c>
      <c r="B44" t="s">
        <v>277</v>
      </c>
      <c r="C44" t="s">
        <v>278</v>
      </c>
      <c r="D44" t="s">
        <v>279</v>
      </c>
      <c r="E44" t="s">
        <v>35</v>
      </c>
      <c r="F44" t="s">
        <v>35</v>
      </c>
      <c r="G44" t="s">
        <v>23</v>
      </c>
      <c r="H44" t="s">
        <v>24</v>
      </c>
      <c r="I44" t="s">
        <v>25</v>
      </c>
      <c r="J44" t="s">
        <v>74</v>
      </c>
      <c r="K44">
        <v>2</v>
      </c>
      <c r="L44">
        <v>12000</v>
      </c>
      <c r="M44" t="s">
        <v>64</v>
      </c>
      <c r="N44">
        <v>20400</v>
      </c>
      <c r="O44" t="s">
        <v>28</v>
      </c>
      <c r="P44" t="s">
        <v>29</v>
      </c>
      <c r="Q44" t="s">
        <v>280</v>
      </c>
    </row>
    <row r="45" spans="1:18" x14ac:dyDescent="0.2">
      <c r="A45" t="s">
        <v>281</v>
      </c>
      <c r="B45" t="s">
        <v>282</v>
      </c>
      <c r="C45" t="s">
        <v>283</v>
      </c>
      <c r="D45" t="s">
        <v>284</v>
      </c>
      <c r="E45" t="s">
        <v>50</v>
      </c>
      <c r="F45" t="s">
        <v>51</v>
      </c>
      <c r="G45" t="s">
        <v>37</v>
      </c>
      <c r="H45" t="s">
        <v>285</v>
      </c>
      <c r="I45" t="s">
        <v>53</v>
      </c>
      <c r="J45" t="s">
        <v>80</v>
      </c>
      <c r="K45">
        <v>1</v>
      </c>
      <c r="L45">
        <v>32000</v>
      </c>
      <c r="M45" t="s">
        <v>98</v>
      </c>
      <c r="N45">
        <v>32000</v>
      </c>
      <c r="O45" t="s">
        <v>81</v>
      </c>
      <c r="P45" t="s">
        <v>231</v>
      </c>
    </row>
    <row r="46" spans="1:18" x14ac:dyDescent="0.2">
      <c r="A46" t="s">
        <v>286</v>
      </c>
      <c r="B46" t="s">
        <v>287</v>
      </c>
      <c r="C46" t="s">
        <v>288</v>
      </c>
      <c r="E46" t="s">
        <v>22</v>
      </c>
      <c r="F46" t="s">
        <v>22</v>
      </c>
      <c r="G46" t="s">
        <v>72</v>
      </c>
      <c r="H46" t="s">
        <v>73</v>
      </c>
      <c r="I46" t="s">
        <v>87</v>
      </c>
      <c r="J46" t="s">
        <v>189</v>
      </c>
      <c r="K46">
        <v>4</v>
      </c>
      <c r="L46">
        <v>1500</v>
      </c>
      <c r="M46" t="s">
        <v>27</v>
      </c>
      <c r="N46">
        <v>5400</v>
      </c>
      <c r="O46" t="s">
        <v>42</v>
      </c>
      <c r="P46" t="s">
        <v>29</v>
      </c>
      <c r="Q46" t="s">
        <v>289</v>
      </c>
    </row>
    <row r="47" spans="1:18" x14ac:dyDescent="0.2">
      <c r="A47" t="s">
        <v>290</v>
      </c>
      <c r="B47" t="s">
        <v>291</v>
      </c>
      <c r="C47" t="s">
        <v>292</v>
      </c>
      <c r="D47" t="s">
        <v>293</v>
      </c>
      <c r="E47" t="s">
        <v>70</v>
      </c>
      <c r="F47" t="s">
        <v>70</v>
      </c>
      <c r="G47" t="s">
        <v>23</v>
      </c>
      <c r="H47" t="s">
        <v>24</v>
      </c>
      <c r="I47" t="s">
        <v>25</v>
      </c>
      <c r="J47" t="s">
        <v>134</v>
      </c>
      <c r="K47">
        <v>6</v>
      </c>
      <c r="L47">
        <v>2500</v>
      </c>
      <c r="M47" t="s">
        <v>55</v>
      </c>
      <c r="N47">
        <v>15000</v>
      </c>
      <c r="O47" t="s">
        <v>28</v>
      </c>
      <c r="P47" t="s">
        <v>29</v>
      </c>
      <c r="Q47" t="s">
        <v>294</v>
      </c>
      <c r="R47" t="s">
        <v>295</v>
      </c>
    </row>
    <row r="48" spans="1:18" x14ac:dyDescent="0.2">
      <c r="A48" t="s">
        <v>296</v>
      </c>
      <c r="B48" t="s">
        <v>289</v>
      </c>
      <c r="C48" t="s">
        <v>297</v>
      </c>
      <c r="D48" t="s">
        <v>298</v>
      </c>
      <c r="E48" t="s">
        <v>22</v>
      </c>
      <c r="F48" t="s">
        <v>114</v>
      </c>
      <c r="G48" t="s">
        <v>37</v>
      </c>
      <c r="H48" t="s">
        <v>38</v>
      </c>
      <c r="I48" t="s">
        <v>62</v>
      </c>
      <c r="J48" t="s">
        <v>129</v>
      </c>
      <c r="K48">
        <v>1</v>
      </c>
      <c r="L48">
        <v>15000</v>
      </c>
      <c r="M48" t="s">
        <v>27</v>
      </c>
      <c r="N48">
        <v>13500</v>
      </c>
      <c r="O48" t="s">
        <v>75</v>
      </c>
      <c r="P48" t="s">
        <v>29</v>
      </c>
      <c r="Q48" t="s">
        <v>299</v>
      </c>
    </row>
    <row r="49" spans="1:18" x14ac:dyDescent="0.2">
      <c r="A49" t="s">
        <v>300</v>
      </c>
      <c r="B49" t="s">
        <v>301</v>
      </c>
      <c r="C49" t="s">
        <v>302</v>
      </c>
      <c r="D49" t="s">
        <v>303</v>
      </c>
      <c r="E49" t="s">
        <v>35</v>
      </c>
      <c r="F49" t="s">
        <v>36</v>
      </c>
      <c r="G49" t="s">
        <v>72</v>
      </c>
      <c r="H49" t="s">
        <v>150</v>
      </c>
      <c r="I49" t="s">
        <v>53</v>
      </c>
      <c r="J49" t="s">
        <v>110</v>
      </c>
      <c r="K49">
        <v>1</v>
      </c>
      <c r="L49">
        <v>28000</v>
      </c>
      <c r="M49" t="s">
        <v>41</v>
      </c>
      <c r="N49">
        <v>26600</v>
      </c>
      <c r="O49" t="s">
        <v>56</v>
      </c>
      <c r="P49" t="s">
        <v>29</v>
      </c>
      <c r="Q49" t="s">
        <v>304</v>
      </c>
    </row>
    <row r="50" spans="1:18" x14ac:dyDescent="0.2">
      <c r="A50" t="s">
        <v>305</v>
      </c>
      <c r="B50" t="s">
        <v>306</v>
      </c>
      <c r="C50" t="s">
        <v>307</v>
      </c>
      <c r="D50" t="s">
        <v>308</v>
      </c>
      <c r="E50" t="s">
        <v>50</v>
      </c>
      <c r="F50" t="s">
        <v>96</v>
      </c>
      <c r="G50" t="s">
        <v>23</v>
      </c>
      <c r="H50" t="s">
        <v>24</v>
      </c>
      <c r="I50" t="s">
        <v>25</v>
      </c>
      <c r="J50" t="s">
        <v>97</v>
      </c>
      <c r="K50">
        <v>2</v>
      </c>
      <c r="L50">
        <v>45000</v>
      </c>
      <c r="M50" t="s">
        <v>27</v>
      </c>
      <c r="N50">
        <v>81000</v>
      </c>
      <c r="O50" t="s">
        <v>28</v>
      </c>
      <c r="P50" t="s">
        <v>29</v>
      </c>
      <c r="Q50" t="s">
        <v>309</v>
      </c>
    </row>
    <row r="51" spans="1:18" x14ac:dyDescent="0.2">
      <c r="A51" t="s">
        <v>310</v>
      </c>
      <c r="B51" t="s">
        <v>311</v>
      </c>
      <c r="C51" t="s">
        <v>312</v>
      </c>
      <c r="D51" t="s">
        <v>313</v>
      </c>
      <c r="E51" t="s">
        <v>22</v>
      </c>
      <c r="F51" t="s">
        <v>22</v>
      </c>
      <c r="G51" t="s">
        <v>37</v>
      </c>
      <c r="H51" t="s">
        <v>38</v>
      </c>
      <c r="I51" t="s">
        <v>87</v>
      </c>
      <c r="J51" t="s">
        <v>88</v>
      </c>
      <c r="K51">
        <v>15</v>
      </c>
      <c r="L51">
        <v>500</v>
      </c>
      <c r="M51" t="s">
        <v>314</v>
      </c>
      <c r="N51">
        <v>5625</v>
      </c>
      <c r="O51" t="s">
        <v>42</v>
      </c>
      <c r="P51" t="s">
        <v>29</v>
      </c>
      <c r="Q51" t="s">
        <v>315</v>
      </c>
      <c r="R51" t="s">
        <v>316</v>
      </c>
    </row>
    <row r="52" spans="1:18" x14ac:dyDescent="0.2">
      <c r="A52" t="s">
        <v>317</v>
      </c>
      <c r="B52" t="s">
        <v>318</v>
      </c>
      <c r="C52" t="s">
        <v>319</v>
      </c>
      <c r="D52" t="s">
        <v>320</v>
      </c>
      <c r="E52" t="s">
        <v>70</v>
      </c>
      <c r="F52" t="s">
        <v>70</v>
      </c>
      <c r="G52" t="s">
        <v>72</v>
      </c>
      <c r="H52" t="s">
        <v>73</v>
      </c>
      <c r="I52" t="s">
        <v>62</v>
      </c>
      <c r="J52" t="s">
        <v>174</v>
      </c>
      <c r="K52">
        <v>1</v>
      </c>
      <c r="L52">
        <v>18000</v>
      </c>
      <c r="M52" t="s">
        <v>98</v>
      </c>
      <c r="N52">
        <v>18000</v>
      </c>
      <c r="O52" t="s">
        <v>81</v>
      </c>
      <c r="P52" t="s">
        <v>231</v>
      </c>
    </row>
  </sheetData>
  <mergeCells count="1">
    <mergeCell ref="A1:Q1"/>
  </mergeCell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C88E2-FF86-6547-9C9B-B3CFDE1F78AB}">
  <dimension ref="A1:B15"/>
  <sheetViews>
    <sheetView workbookViewId="0">
      <selection activeCell="D33" sqref="D33"/>
    </sheetView>
  </sheetViews>
  <sheetFormatPr baseColWidth="10" defaultRowHeight="15" x14ac:dyDescent="0.2"/>
  <cols>
    <col min="1" max="1" width="12.1640625" bestFit="1" customWidth="1"/>
    <col min="2" max="2" width="13.5" bestFit="1" customWidth="1"/>
  </cols>
  <sheetData>
    <row r="1" spans="1:2" x14ac:dyDescent="0.2">
      <c r="A1" t="s">
        <v>437</v>
      </c>
    </row>
    <row r="2" spans="1:2" x14ac:dyDescent="0.2">
      <c r="A2" s="14">
        <v>1118705</v>
      </c>
    </row>
    <row r="4" spans="1:2" x14ac:dyDescent="0.2">
      <c r="A4" t="s">
        <v>440</v>
      </c>
    </row>
    <row r="5" spans="1:2" x14ac:dyDescent="0.2">
      <c r="A5" s="15">
        <v>6.2926829268292686</v>
      </c>
    </row>
    <row r="9" spans="1:2" x14ac:dyDescent="0.2">
      <c r="A9" s="5" t="s">
        <v>429</v>
      </c>
      <c r="B9" t="s">
        <v>431</v>
      </c>
    </row>
    <row r="10" spans="1:2" x14ac:dyDescent="0.2">
      <c r="A10" s="6" t="s">
        <v>75</v>
      </c>
      <c r="B10" s="4">
        <v>9</v>
      </c>
    </row>
    <row r="11" spans="1:2" x14ac:dyDescent="0.2">
      <c r="A11" s="6" t="s">
        <v>56</v>
      </c>
      <c r="B11" s="4">
        <v>9</v>
      </c>
    </row>
    <row r="12" spans="1:2" x14ac:dyDescent="0.2">
      <c r="A12" s="6" t="s">
        <v>81</v>
      </c>
      <c r="B12" s="4">
        <v>12</v>
      </c>
    </row>
    <row r="13" spans="1:2" x14ac:dyDescent="0.2">
      <c r="A13" s="6" t="s">
        <v>28</v>
      </c>
      <c r="B13" s="4">
        <v>37</v>
      </c>
    </row>
    <row r="14" spans="1:2" x14ac:dyDescent="0.2">
      <c r="A14" s="6" t="s">
        <v>42</v>
      </c>
      <c r="B14" s="4">
        <v>62</v>
      </c>
    </row>
    <row r="15" spans="1:2" x14ac:dyDescent="0.2">
      <c r="A15" s="6" t="s">
        <v>430</v>
      </c>
      <c r="B15" s="4">
        <v>129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5DF1C2-FEFE-E14B-8B73-4688D3FDDD5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Pivot</vt:lpstr>
      <vt:lpstr>Cleaned</vt:lpstr>
      <vt:lpstr>Raw Sales Data</vt:lpstr>
      <vt:lpstr>Pivot link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Christian Aler</cp:lastModifiedBy>
  <dcterms:created xsi:type="dcterms:W3CDTF">2026-03-11T14:42:56Z</dcterms:created>
  <dcterms:modified xsi:type="dcterms:W3CDTF">2026-03-11T18:50:37Z</dcterms:modified>
</cp:coreProperties>
</file>